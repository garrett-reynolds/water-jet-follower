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arrett.reynolds\Projects\Personal\Electronics\water-jet-follower\bom\"/>
    </mc:Choice>
  </mc:AlternateContent>
  <xr:revisionPtr revIDLastSave="0" documentId="13_ncr:1_{E87D12C5-F2BE-4E14-95D9-D025B706EDB0}" xr6:coauthVersionLast="47" xr6:coauthVersionMax="47" xr10:uidLastSave="{00000000-0000-0000-0000-000000000000}"/>
  <bookViews>
    <workbookView xWindow="-28920" yWindow="-16275" windowWidth="29040" windowHeight="15720" xr2:uid="{00000000-000D-0000-FFFF-FFFF00000000}"/>
  </bookViews>
  <sheets>
    <sheet name="Raptors Tech Estim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2" i="1" l="1"/>
  <c r="D51" i="1"/>
  <c r="A42" i="1"/>
  <c r="D41" i="1"/>
  <c r="C40" i="1"/>
  <c r="D40" i="1" s="1"/>
  <c r="C39" i="1"/>
  <c r="D39" i="1" s="1"/>
  <c r="D38" i="1"/>
  <c r="C37" i="1"/>
  <c r="D37" i="1" s="1"/>
  <c r="D36" i="1"/>
  <c r="C36" i="1"/>
  <c r="C35" i="1"/>
  <c r="D35" i="1" s="1"/>
  <c r="C34" i="1"/>
  <c r="D34" i="1" s="1"/>
  <c r="C33" i="1"/>
  <c r="D33" i="1" s="1"/>
  <c r="C32" i="1"/>
  <c r="D32" i="1" s="1"/>
  <c r="A28" i="1"/>
  <c r="H28" i="1" s="1"/>
  <c r="H42" i="1" s="1"/>
  <c r="D27" i="1"/>
  <c r="C26" i="1"/>
  <c r="D26" i="1" s="1"/>
  <c r="C25" i="1"/>
  <c r="D25" i="1" s="1"/>
  <c r="D24" i="1"/>
  <c r="C23" i="1"/>
  <c r="D23" i="1" s="1"/>
  <c r="C22" i="1"/>
  <c r="D22" i="1" s="1"/>
  <c r="C21" i="1"/>
  <c r="D21" i="1" s="1"/>
  <c r="C20" i="1"/>
  <c r="D20" i="1" s="1"/>
  <c r="C19" i="1"/>
  <c r="D19" i="1" s="1"/>
  <c r="D18" i="1"/>
  <c r="C18" i="1"/>
  <c r="C12" i="1"/>
  <c r="D12" i="1" s="1"/>
  <c r="D13" i="1" s="1"/>
  <c r="D14" i="1" s="1"/>
  <c r="D11" i="1"/>
  <c r="D10" i="1"/>
  <c r="D9" i="1"/>
  <c r="D8" i="1"/>
  <c r="D7" i="1"/>
  <c r="D6" i="1"/>
  <c r="D5" i="1"/>
  <c r="D28" i="1" l="1"/>
  <c r="D48" i="1" s="1"/>
  <c r="D42" i="1"/>
  <c r="D45" i="1" l="1"/>
  <c r="D49" i="1"/>
</calcChain>
</file>

<file path=xl/sharedStrings.xml><?xml version="1.0" encoding="utf-8"?>
<sst xmlns="http://schemas.openxmlformats.org/spreadsheetml/2006/main" count="111" uniqueCount="85">
  <si>
    <t>Project Materials</t>
  </si>
  <si>
    <t>Qty</t>
  </si>
  <si>
    <t>Description</t>
  </si>
  <si>
    <t>Unit Price</t>
  </si>
  <si>
    <t>Extended</t>
  </si>
  <si>
    <t>Ordered</t>
  </si>
  <si>
    <t>Notes</t>
  </si>
  <si>
    <t>Links</t>
  </si>
  <si>
    <t>Project Materials Subtotal</t>
  </si>
  <si>
    <t>Round to</t>
  </si>
  <si>
    <t>Procurement and design</t>
  </si>
  <si>
    <t>Research and Development</t>
  </si>
  <si>
    <t>Programming</t>
  </si>
  <si>
    <t>Integration</t>
  </si>
  <si>
    <t>Testing</t>
  </si>
  <si>
    <t>Documentation</t>
  </si>
  <si>
    <t>Install and commissioning</t>
  </si>
  <si>
    <t>Assumptions</t>
  </si>
  <si>
    <t>Ctech Estimate - ROM Raptors Tunnel (Landscape)</t>
  </si>
  <si>
    <t>Prepared Sep 18 2026 | CAD $ excl. HST | one projection wall | rate CAD $220/h | hours and non-projector costs are [U] estimates</t>
  </si>
  <si>
    <t>Qty - shared / projector 1</t>
  </si>
  <si>
    <t>Qty - projector 2</t>
  </si>
  <si>
    <t>Epson PowerLite 770F UST laser projector - landscape</t>
  </si>
  <si>
    <t>[V] CAD unit price read Sep 18 2026 from Epson Canada. [U] selection / quantity; stock and rear-fabric test not confirmed.</t>
  </si>
  <si>
    <t>https://epson.ca/For-Work/Projectors/Classroom/PowerLite-770F-1080p-3LCD-Ultra-Short-Throw-Lamp-Free-Laser-Display/p/V11HA79020</t>
  </si>
  <si>
    <t>Playback PC + visitor tracking kit [U]</t>
  </si>
  <si>
    <t>PC CAD $1,500-2,500 plus two depth cameras, USB / power, mounts and shipping CAD $1,600-2,400 [U] budget allowance. Candidate: Orbbec Femto Bolt. Coverage / compatibility requires prototype.</t>
  </si>
  <si>
    <t>https://www.orbbec.com/products/tof-camera/femto-bolt/</t>
  </si>
  <si>
    <t>Finished white rear-projection fabric panel</t>
  </si>
  <si>
    <t>[U] allowance; retains 15 x 8 ft wall panel. Image band is 15 x 4.5 ft. Sample-test UST performance.</t>
  </si>
  <si>
    <t>https://www.rosebrand.com/softscreen-122-in-ifr-white [US]</t>
  </si>
  <si>
    <t>Two landscape mounts and perimeter screen tensioning</t>
  </si>
  <si>
    <t>[U] allowance: mounts 500-1,000 plus tensioning 300-800. Main tunnel structure excluded.</t>
  </si>
  <si>
    <t>N/A</t>
  </si>
  <si>
    <t>Two video feeds, adapters, power and network cables</t>
  </si>
  <si>
    <t>[U] allowance: video 200-400 plus power / control 250-600. Do not use a mirroring splitter.</t>
  </si>
  <si>
    <t>Rear bay + shipping + software / asset [U]</t>
  </si>
  <si>
    <t>Rear bay / shipping $700 + video software / raptor asset $800 + stock footstep / growl sound licences $100 [U] CAD allowances. Actual quotes / licence terms not obtained.</t>
  </si>
  <si>
    <t>https://derivative.ca/UserGuide/Movie_File_In_TOP</t>
  </si>
  <si>
    <t>Sound system package [U]</t>
  </si>
  <si>
    <t>[U] CAD $900 budget: powered speaker pair $650, USB audio interface $100, brackets $100 and wired audio / power $50. Candidate JBL Control 2P pair + MTC-2P mounts. No subwoofer. Prices / availability not quoted.</t>
  </si>
  <si>
    <t>https://jblpro.com/en-US/product_families/control-2p-powered-speaker</t>
  </si>
  <si>
    <t>Materials contingency</t>
  </si>
  <si>
    <t>[U] 25% contingency for a design still being tested. Edit percentage in A60.</t>
  </si>
  <si>
    <t>Project Hours - Shared design, development and testing</t>
  </si>
  <si>
    <t>Notes / estimate basis [U]</t>
  </si>
  <si>
    <t>13 h: projection / tracking design and procurement, including speaker placement, wired audio and sound-system sourcing.</t>
  </si>
  <si>
    <t>13 h: fabric / tracking / video prototype plus speaker and USB audio-output check.</t>
  </si>
  <si>
    <t>71 h: visitor tracking and forward / reverse video, projection mapping / blending and recovery. Audio plays separately: normal-direction footsteps during movement and growl cue on entry. Basic position-based stereo panning. Includes iteration.</t>
  </si>
  <si>
    <t>30 h: projection / tracking integration plus speakers, brackets, USB audio, wired signal / power and level setup. Includes durable installation and iteration.</t>
  </si>
  <si>
    <t>11 h: projection / tracking tests plus sound levels, audio cues, stop / reverse behaviour and restart recovery. Venue sound coverage requires test.</t>
  </si>
  <si>
    <t>QA</t>
  </si>
  <si>
    <t>QA 4-8 h: tracking loss / re-entry, restart recovery and soak setup / review. Unattended soak time is not billed.</t>
  </si>
  <si>
    <t>7 h: projection / tracking records and handover plus audio wiring, volume settings and sound-asset records.</t>
  </si>
  <si>
    <t>Content Development</t>
  </si>
  <si>
    <t>21 h: one licensed-asset raptor clip, revisions / export, plus sourcing and editing stock footsteps / growl into separate playable audio cues. No bespoke creature modelling or original sound recording.</t>
  </si>
  <si>
    <t>Shared labour subtotal</t>
  </si>
  <si>
    <t>Total labour hours including installation</t>
  </si>
  <si>
    <t>Project Hours - On-site installation and commissioning</t>
  </si>
  <si>
    <t>Zero: this phase is included in the shared work block. No duplicate charge.</t>
  </si>
  <si>
    <t>14 person-hours: transport, projection / camera setup, speaker mounting, cable dressing, sound levels, visitor tests and handover. One install, no ongoing attendance.</t>
  </si>
  <si>
    <t>Installation subtotal</t>
  </si>
  <si>
    <t>Calendar weeks [U]: 30 h/week, x1.3 approvals</t>
  </si>
  <si>
    <t>Total tech estimate</t>
  </si>
  <si>
    <t>Cost breakdown (materials unrounded)</t>
  </si>
  <si>
    <t>Shared labour + shared hardware / projector 1 + contingency</t>
  </si>
  <si>
    <t>Installation labour + projector 2 hardware</t>
  </si>
  <si>
    <t>Image width per projector</t>
  </si>
  <si>
    <t>ft</t>
  </si>
  <si>
    <t>Image height per projector</t>
  </si>
  <si>
    <t>Combined projected width</t>
  </si>
  <si>
    <t>Calendar approval multiplier [U]</t>
  </si>
  <si>
    <t>Focused hours/week [U]</t>
  </si>
  <si>
    <t>Scope: one 15 x 4.5 ft wall, two landscape USTs, one raptor clip, one tracked visitor and two wired speakers with footsteps / growl cues.</t>
  </si>
  <si>
    <t>Rate supplied by Garrett; edit C57. HST excluded.</t>
  </si>
  <si>
    <t>Main estimate. All labour hours are [U] planning estimates. Reliability and iteration are included within the delivery phases.</t>
  </si>
  <si>
    <t>Overlap between the two 8 ft wide images: 1 ft [U]. Edit overlap in A59; combined width is calculated in D52.</t>
  </si>
  <si>
    <t>Materials contingency: 25% [U]. Edit percentage in A60. Shared equipment and contingency are allocated to projector 1.</t>
  </si>
  <si>
    <t>Nominal optical throw: 8 ft x 0.25 = 2 ft [U calculation]. Complete mounting / cooling / access envelope remains unverified.</t>
  </si>
  <si>
    <t>Reserve 3-3.5 ft rear-bay depth provisionally [U]; verify model-specific mounting height and physical clearance before fabrication.</t>
  </si>
  <si>
    <t>Use tensioned diffuse rear-projection fabric. Keep framing and exterior branding out of the beam paths and translucent screen back.</t>
  </si>
  <si>
    <t>Assume familiar depth / playback tools, wired indoor installation. New technology adds x1.5-2 to affected work (not applied). Asset and camera compatibility unverified.</t>
  </si>
  <si>
    <t>Excludes bespoke modelling / rigging, extra scenes, multi-person following, original sound recording / composition, subwoofer, main tunnel fabrication and ongoing attendance.</t>
  </si>
  <si>
    <t>Visitor position controls video frame, pause and reverse. Audio cues play normally, independent of reverse video. Basic two-speaker panning; no surround system.</t>
  </si>
  <si>
    <t>Prototype camera coverage, handoff and video scrubbing before committing. Calendar assumes 30 focused h/week, x1.3 approvals. Lead times and real hardware unverified.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</si>
</sst>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\$* #,##0.00_);_(\$* \(#,##0.00\);_(\$* \-??_);_(@_)"/>
    <numFmt numFmtId="166" formatCode="0.0&quot; ft [U]&quot;"/>
    <numFmt numFmtId="167" formatCode="&quot;CAD $&quot;#,##0"/>
    <numFmt numFmtId="168" formatCode="&quot;CAD $&quot;0&quot;/h&quot;"/>
    <numFmt numFmtId="169" formatCode="0&quot; h&quot;"/>
    <numFmt numFmtId="170" formatCode="0&quot; h [U]&quot;"/>
    <numFmt numFmtId="171" formatCode="0&quot; weeks&quot;"/>
    <numFmt numFmtId="172" formatCode="0.0&quot;x&quot;"/>
    <numFmt numFmtId="173" formatCode="0&quot; h/week&quot;"/>
  </numFmts>
  <fonts count="5" x14ac:knownFonts="1">
    <font>
      <sz val="12"/>
      <color theme="1"/>
      <name val="Calibri"/>
    </font>
    <font>
      <b/>
      <sz val="16"/>
      <color theme="1"/>
      <name val="Calibri"/>
    </font>
    <font>
      <b/>
      <sz val="12"/>
      <color theme="1"/>
      <name val="Calibri"/>
    </font>
    <font>
      <sz val="12"/>
      <color theme="10"/>
      <name val="Calibri"/>
    </font>
    <font>
      <sz val="12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5"/>
      </patternFill>
    </fill>
    <fill>
      <patternFill patternType="solid">
        <fgColor theme="8" tint="0.59974974822229687"/>
        <bgColor indexed="65"/>
      </patternFill>
    </fill>
    <fill>
      <patternFill patternType="solid">
        <fgColor rgb="FFFFF2CC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164" fontId="4" fillId="0" borderId="0"/>
    <xf numFmtId="0" fontId="3" fillId="0" borderId="0"/>
  </cellStyleXfs>
  <cellXfs count="29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1" xfId="0" applyFont="1" applyBorder="1"/>
    <xf numFmtId="0" fontId="0" fillId="0" borderId="0" xfId="0" applyAlignment="1">
      <alignment horizontal="center"/>
    </xf>
    <xf numFmtId="164" fontId="4" fillId="0" borderId="0" xfId="1"/>
    <xf numFmtId="0" fontId="2" fillId="3" borderId="0" xfId="0" applyFont="1" applyFill="1" applyAlignment="1">
      <alignment horizontal="right"/>
    </xf>
    <xf numFmtId="0" fontId="2" fillId="0" borderId="1" xfId="0" applyFont="1" applyBorder="1" applyAlignment="1">
      <alignment wrapText="1"/>
    </xf>
    <xf numFmtId="166" fontId="0" fillId="0" borderId="0" xfId="0" applyNumberFormat="1"/>
    <xf numFmtId="166" fontId="2" fillId="0" borderId="0" xfId="0" applyNumberFormat="1" applyFont="1"/>
    <xf numFmtId="0" fontId="0" fillId="4" borderId="0" xfId="0" applyFill="1"/>
    <xf numFmtId="9" fontId="0" fillId="4" borderId="0" xfId="0" applyNumberFormat="1" applyFill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167" fontId="0" fillId="0" borderId="0" xfId="0" applyNumberFormat="1"/>
    <xf numFmtId="167" fontId="2" fillId="0" borderId="0" xfId="0" applyNumberFormat="1" applyFont="1" applyAlignment="1">
      <alignment horizontal="right"/>
    </xf>
    <xf numFmtId="167" fontId="2" fillId="0" borderId="0" xfId="0" applyNumberFormat="1" applyFont="1"/>
    <xf numFmtId="167" fontId="2" fillId="3" borderId="0" xfId="0" applyNumberFormat="1" applyFont="1" applyFill="1"/>
    <xf numFmtId="169" fontId="0" fillId="0" borderId="0" xfId="0" applyNumberFormat="1"/>
    <xf numFmtId="169" fontId="0" fillId="0" borderId="0" xfId="0" applyNumberFormat="1" applyAlignment="1">
      <alignment horizontal="center"/>
    </xf>
    <xf numFmtId="169" fontId="2" fillId="0" borderId="0" xfId="0" applyNumberFormat="1" applyFont="1" applyAlignment="1">
      <alignment horizontal="center"/>
    </xf>
    <xf numFmtId="169" fontId="2" fillId="0" borderId="0" xfId="0" applyNumberFormat="1" applyFont="1"/>
    <xf numFmtId="169" fontId="2" fillId="0" borderId="1" xfId="0" applyNumberFormat="1" applyFont="1" applyBorder="1"/>
    <xf numFmtId="167" fontId="2" fillId="0" borderId="1" xfId="0" applyNumberFormat="1" applyFont="1" applyBorder="1"/>
    <xf numFmtId="170" fontId="0" fillId="0" borderId="0" xfId="0" applyNumberFormat="1"/>
    <xf numFmtId="171" fontId="0" fillId="0" borderId="0" xfId="0" applyNumberFormat="1"/>
    <xf numFmtId="168" fontId="0" fillId="5" borderId="0" xfId="0" applyNumberFormat="1" applyFill="1"/>
    <xf numFmtId="172" fontId="0" fillId="5" borderId="0" xfId="0" applyNumberFormat="1" applyFill="1"/>
    <xf numFmtId="173" fontId="0" fillId="5" borderId="0" xfId="0" applyNumberFormat="1" applyFill="1"/>
  </cellXfs>
  <cellStyles count="3">
    <cellStyle name="Currency" xfId="1" xr:uid="{00000000-0005-0000-0000-000000000000}"/>
    <cellStyle name="Hyperlink" xfId="2" xr:uid="{00000000-0005-0000-0000-000001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7"/>
  <sheetViews>
    <sheetView tabSelected="1" topLeftCell="A26" workbookViewId="0">
      <selection activeCell="F37" sqref="F37"/>
    </sheetView>
  </sheetViews>
  <sheetFormatPr defaultColWidth="8.58203125" defaultRowHeight="15.5" x14ac:dyDescent="0.35"/>
  <cols>
    <col min="2" max="2" width="58.5" customWidth="1"/>
    <col min="3" max="3" width="22.33203125" customWidth="1"/>
    <col min="4" max="4" width="22.5" customWidth="1"/>
    <col min="6" max="6" width="70.58203125" customWidth="1"/>
    <col min="7" max="7" width="54.08203125" customWidth="1"/>
    <col min="8" max="8" width="16" customWidth="1"/>
    <col min="9" max="9" width="20" customWidth="1"/>
  </cols>
  <sheetData>
    <row r="1" spans="1:9" ht="17.399999999999999" customHeight="1" x14ac:dyDescent="0.5">
      <c r="A1" s="1" t="s">
        <v>18</v>
      </c>
    </row>
    <row r="2" spans="1:9" x14ac:dyDescent="0.35">
      <c r="A2" t="s">
        <v>19</v>
      </c>
    </row>
    <row r="3" spans="1:9" x14ac:dyDescent="0.35">
      <c r="A3" s="2" t="s">
        <v>0</v>
      </c>
    </row>
    <row r="4" spans="1:9" ht="25.4" customHeight="1" x14ac:dyDescent="0.35">
      <c r="A4" s="3" t="s">
        <v>1</v>
      </c>
      <c r="B4" s="3" t="s">
        <v>2</v>
      </c>
      <c r="C4" s="3" t="s">
        <v>3</v>
      </c>
      <c r="D4" s="3" t="s">
        <v>4</v>
      </c>
      <c r="E4" t="s">
        <v>5</v>
      </c>
      <c r="F4" s="3" t="s">
        <v>6</v>
      </c>
      <c r="G4" s="3" t="s">
        <v>7</v>
      </c>
      <c r="H4" s="7" t="s">
        <v>20</v>
      </c>
      <c r="I4" s="7" t="s">
        <v>21</v>
      </c>
    </row>
    <row r="5" spans="1:9" ht="44" customHeight="1" x14ac:dyDescent="0.35">
      <c r="A5" s="4">
        <v>2</v>
      </c>
      <c r="B5" s="12" t="s">
        <v>22</v>
      </c>
      <c r="C5" s="14">
        <v>2854</v>
      </c>
      <c r="D5" s="14">
        <f t="shared" ref="D5:D11" si="0">C5*A5</f>
        <v>5708</v>
      </c>
      <c r="E5">
        <v>0</v>
      </c>
      <c r="F5" s="12" t="s">
        <v>23</v>
      </c>
      <c r="G5" s="13" t="s">
        <v>24</v>
      </c>
      <c r="H5" s="4">
        <v>1</v>
      </c>
      <c r="I5" s="4">
        <v>1</v>
      </c>
    </row>
    <row r="6" spans="1:9" ht="44" customHeight="1" x14ac:dyDescent="0.35">
      <c r="A6" s="4">
        <v>1</v>
      </c>
      <c r="B6" s="12" t="s">
        <v>25</v>
      </c>
      <c r="C6" s="14">
        <v>3100</v>
      </c>
      <c r="D6" s="14">
        <f t="shared" si="0"/>
        <v>3100</v>
      </c>
      <c r="E6">
        <v>0</v>
      </c>
      <c r="F6" s="12" t="s">
        <v>26</v>
      </c>
      <c r="G6" s="13" t="s">
        <v>27</v>
      </c>
      <c r="H6" s="4">
        <v>1</v>
      </c>
      <c r="I6" s="4">
        <v>0</v>
      </c>
    </row>
    <row r="7" spans="1:9" ht="44" customHeight="1" x14ac:dyDescent="0.35">
      <c r="A7" s="4">
        <v>1</v>
      </c>
      <c r="B7" s="12" t="s">
        <v>28</v>
      </c>
      <c r="C7" s="14">
        <v>700</v>
      </c>
      <c r="D7" s="14">
        <f t="shared" si="0"/>
        <v>700</v>
      </c>
      <c r="E7">
        <v>0</v>
      </c>
      <c r="F7" s="12" t="s">
        <v>29</v>
      </c>
      <c r="G7" s="12" t="s">
        <v>30</v>
      </c>
      <c r="H7" s="4">
        <v>1</v>
      </c>
      <c r="I7" s="4">
        <v>0</v>
      </c>
    </row>
    <row r="8" spans="1:9" ht="44" customHeight="1" x14ac:dyDescent="0.35">
      <c r="A8" s="4">
        <v>1</v>
      </c>
      <c r="B8" s="12" t="s">
        <v>31</v>
      </c>
      <c r="C8" s="14">
        <v>800</v>
      </c>
      <c r="D8" s="14">
        <f t="shared" si="0"/>
        <v>800</v>
      </c>
      <c r="E8">
        <v>0</v>
      </c>
      <c r="F8" s="12" t="s">
        <v>32</v>
      </c>
      <c r="G8" s="12" t="s">
        <v>33</v>
      </c>
      <c r="H8" s="4">
        <v>1</v>
      </c>
      <c r="I8" s="4">
        <v>0</v>
      </c>
    </row>
    <row r="9" spans="1:9" ht="44" customHeight="1" x14ac:dyDescent="0.35">
      <c r="A9" s="4">
        <v>1</v>
      </c>
      <c r="B9" s="12" t="s">
        <v>34</v>
      </c>
      <c r="C9" s="14">
        <v>450</v>
      </c>
      <c r="D9" s="14">
        <f t="shared" si="0"/>
        <v>450</v>
      </c>
      <c r="E9">
        <v>0</v>
      </c>
      <c r="F9" s="12" t="s">
        <v>35</v>
      </c>
      <c r="G9" s="12" t="s">
        <v>33</v>
      </c>
      <c r="H9" s="4">
        <v>1</v>
      </c>
      <c r="I9" s="4">
        <v>0</v>
      </c>
    </row>
    <row r="10" spans="1:9" ht="44" customHeight="1" x14ac:dyDescent="0.35">
      <c r="A10" s="4">
        <v>1</v>
      </c>
      <c r="B10" s="12" t="s">
        <v>36</v>
      </c>
      <c r="C10" s="14">
        <v>1600</v>
      </c>
      <c r="D10" s="14">
        <f t="shared" si="0"/>
        <v>1600</v>
      </c>
      <c r="E10">
        <v>0</v>
      </c>
      <c r="F10" s="12" t="s">
        <v>37</v>
      </c>
      <c r="G10" s="12" t="s">
        <v>38</v>
      </c>
      <c r="H10" s="4">
        <v>1</v>
      </c>
      <c r="I10" s="4">
        <v>0</v>
      </c>
    </row>
    <row r="11" spans="1:9" ht="49.4" customHeight="1" x14ac:dyDescent="0.35">
      <c r="A11" s="4">
        <v>1</v>
      </c>
      <c r="B11" s="12" t="s">
        <v>39</v>
      </c>
      <c r="C11" s="14">
        <v>900</v>
      </c>
      <c r="D11" s="14">
        <f t="shared" si="0"/>
        <v>900</v>
      </c>
      <c r="E11">
        <v>0</v>
      </c>
      <c r="F11" s="12" t="s">
        <v>40</v>
      </c>
      <c r="G11" s="12" t="s">
        <v>41</v>
      </c>
      <c r="H11" s="4">
        <v>1</v>
      </c>
      <c r="I11" s="4">
        <v>0</v>
      </c>
    </row>
    <row r="12" spans="1:9" ht="49.4" customHeight="1" x14ac:dyDescent="0.35">
      <c r="A12">
        <v>1</v>
      </c>
      <c r="B12" t="s">
        <v>42</v>
      </c>
      <c r="C12" s="15">
        <f>$A$60*SUM(D5:D11)</f>
        <v>3314.5</v>
      </c>
      <c r="D12" s="16">
        <f>A12*C12</f>
        <v>3314.5</v>
      </c>
      <c r="E12">
        <v>0</v>
      </c>
      <c r="F12" t="s">
        <v>43</v>
      </c>
      <c r="G12" t="s">
        <v>33</v>
      </c>
      <c r="H12">
        <v>1</v>
      </c>
      <c r="I12">
        <v>0</v>
      </c>
    </row>
    <row r="13" spans="1:9" ht="13.4" customHeight="1" x14ac:dyDescent="0.35">
      <c r="C13" s="15" t="s">
        <v>8</v>
      </c>
      <c r="D13" s="16">
        <f>SUM(D5:D12)</f>
        <v>16572.5</v>
      </c>
    </row>
    <row r="14" spans="1:9" ht="13.4" customHeight="1" x14ac:dyDescent="0.35">
      <c r="C14" t="s">
        <v>9</v>
      </c>
      <c r="D14">
        <f>ROUNDUP(D13,-2)</f>
        <v>16600</v>
      </c>
      <c r="F14" s="12"/>
      <c r="G14" s="12"/>
    </row>
    <row r="16" spans="1:9" x14ac:dyDescent="0.35">
      <c r="A16" s="2" t="s">
        <v>44</v>
      </c>
    </row>
    <row r="17" spans="1:8" x14ac:dyDescent="0.35">
      <c r="A17" s="3" t="s">
        <v>1</v>
      </c>
      <c r="B17" s="3" t="s">
        <v>2</v>
      </c>
      <c r="C17" s="3" t="s">
        <v>3</v>
      </c>
      <c r="D17" s="3" t="s">
        <v>4</v>
      </c>
      <c r="F17" s="3" t="s">
        <v>45</v>
      </c>
    </row>
    <row r="18" spans="1:8" ht="41.4" customHeight="1" x14ac:dyDescent="0.35">
      <c r="A18" s="19">
        <v>13</v>
      </c>
      <c r="B18" s="2" t="s">
        <v>10</v>
      </c>
      <c r="C18" s="14">
        <f t="shared" ref="C18:C23" si="1">$C$57</f>
        <v>220</v>
      </c>
      <c r="D18" s="14">
        <f t="shared" ref="D18:D27" si="2">A18*C18</f>
        <v>2860</v>
      </c>
      <c r="F18" s="12" t="s">
        <v>46</v>
      </c>
    </row>
    <row r="19" spans="1:8" ht="41.4" customHeight="1" x14ac:dyDescent="0.35">
      <c r="A19" s="19">
        <v>13</v>
      </c>
      <c r="B19" s="2" t="s">
        <v>11</v>
      </c>
      <c r="C19" s="14">
        <f t="shared" si="1"/>
        <v>220</v>
      </c>
      <c r="D19" s="14">
        <f t="shared" si="2"/>
        <v>2860</v>
      </c>
      <c r="F19" s="12" t="s">
        <v>47</v>
      </c>
    </row>
    <row r="20" spans="1:8" ht="41.4" customHeight="1" x14ac:dyDescent="0.35">
      <c r="A20" s="19">
        <v>60</v>
      </c>
      <c r="B20" s="2" t="s">
        <v>12</v>
      </c>
      <c r="C20" s="14">
        <f t="shared" si="1"/>
        <v>220</v>
      </c>
      <c r="D20" s="14">
        <f t="shared" si="2"/>
        <v>13200</v>
      </c>
      <c r="F20" s="12" t="s">
        <v>48</v>
      </c>
    </row>
    <row r="21" spans="1:8" ht="41.4" customHeight="1" x14ac:dyDescent="0.35">
      <c r="A21" s="19">
        <v>28</v>
      </c>
      <c r="B21" s="2" t="s">
        <v>13</v>
      </c>
      <c r="C21" s="14">
        <f t="shared" si="1"/>
        <v>220</v>
      </c>
      <c r="D21" s="14">
        <f t="shared" si="2"/>
        <v>6160</v>
      </c>
      <c r="F21" s="12" t="s">
        <v>49</v>
      </c>
    </row>
    <row r="22" spans="1:8" ht="41.4" customHeight="1" x14ac:dyDescent="0.35">
      <c r="A22" s="19">
        <v>11</v>
      </c>
      <c r="B22" s="2" t="s">
        <v>14</v>
      </c>
      <c r="C22" s="14">
        <f t="shared" si="1"/>
        <v>220</v>
      </c>
      <c r="D22" s="14">
        <f t="shared" si="2"/>
        <v>2420</v>
      </c>
      <c r="F22" s="12" t="s">
        <v>50</v>
      </c>
    </row>
    <row r="23" spans="1:8" ht="41.4" customHeight="1" x14ac:dyDescent="0.35">
      <c r="A23" s="19">
        <v>4</v>
      </c>
      <c r="B23" s="2" t="s">
        <v>51</v>
      </c>
      <c r="C23" s="14">
        <f t="shared" si="1"/>
        <v>220</v>
      </c>
      <c r="D23" s="14">
        <f t="shared" si="2"/>
        <v>880</v>
      </c>
      <c r="F23" s="12" t="s">
        <v>52</v>
      </c>
    </row>
    <row r="24" spans="1:8" ht="4" customHeight="1" x14ac:dyDescent="0.35">
      <c r="A24" s="19"/>
      <c r="B24" s="2"/>
      <c r="C24" s="14"/>
      <c r="D24" s="14">
        <f t="shared" si="2"/>
        <v>0</v>
      </c>
      <c r="F24" s="12"/>
    </row>
    <row r="25" spans="1:8" ht="41.4" customHeight="1" x14ac:dyDescent="0.35">
      <c r="A25" s="19">
        <v>7</v>
      </c>
      <c r="B25" s="2" t="s">
        <v>15</v>
      </c>
      <c r="C25" s="14">
        <f>$C$57</f>
        <v>220</v>
      </c>
      <c r="D25" s="14">
        <f t="shared" si="2"/>
        <v>1540</v>
      </c>
      <c r="F25" s="12" t="s">
        <v>53</v>
      </c>
    </row>
    <row r="26" spans="1:8" ht="41.4" customHeight="1" x14ac:dyDescent="0.35">
      <c r="A26" s="19">
        <v>21</v>
      </c>
      <c r="B26" s="2" t="s">
        <v>54</v>
      </c>
      <c r="C26" s="14">
        <f>$C$57</f>
        <v>220</v>
      </c>
      <c r="D26" s="14">
        <f t="shared" si="2"/>
        <v>4620</v>
      </c>
      <c r="F26" s="12" t="s">
        <v>55</v>
      </c>
    </row>
    <row r="27" spans="1:8" ht="4" customHeight="1" x14ac:dyDescent="0.35">
      <c r="A27" s="19"/>
      <c r="B27" s="2"/>
      <c r="C27" s="14"/>
      <c r="D27" s="14">
        <f t="shared" si="2"/>
        <v>0</v>
      </c>
      <c r="F27" s="12"/>
    </row>
    <row r="28" spans="1:8" x14ac:dyDescent="0.35">
      <c r="A28" s="20">
        <f>SUM(A18:A27)</f>
        <v>157</v>
      </c>
      <c r="C28" s="15" t="s">
        <v>56</v>
      </c>
      <c r="D28" s="16">
        <f>SUM(D18:D27)</f>
        <v>34540</v>
      </c>
      <c r="F28" s="12" t="s">
        <v>57</v>
      </c>
      <c r="H28" s="24">
        <f>A28+A42</f>
        <v>171</v>
      </c>
    </row>
    <row r="29" spans="1:8" x14ac:dyDescent="0.35">
      <c r="A29" s="18"/>
      <c r="C29" s="14"/>
      <c r="D29" s="14"/>
      <c r="F29" s="12"/>
    </row>
    <row r="30" spans="1:8" x14ac:dyDescent="0.35">
      <c r="A30" s="21" t="s">
        <v>58</v>
      </c>
      <c r="C30" s="14"/>
      <c r="D30" s="14"/>
      <c r="F30" s="12"/>
    </row>
    <row r="31" spans="1:8" x14ac:dyDescent="0.35">
      <c r="A31" s="22" t="s">
        <v>1</v>
      </c>
      <c r="B31" s="3" t="s">
        <v>2</v>
      </c>
      <c r="C31" s="23" t="s">
        <v>3</v>
      </c>
      <c r="D31" s="23" t="s">
        <v>4</v>
      </c>
      <c r="F31" s="7" t="s">
        <v>45</v>
      </c>
    </row>
    <row r="32" spans="1:8" ht="28" customHeight="1" x14ac:dyDescent="0.35">
      <c r="A32" s="19">
        <v>0</v>
      </c>
      <c r="B32" s="2" t="s">
        <v>10</v>
      </c>
      <c r="C32" s="14">
        <f t="shared" ref="C32:C37" si="3">$C$57</f>
        <v>220</v>
      </c>
      <c r="D32" s="14">
        <f t="shared" ref="D32:D41" si="4">A32*C32</f>
        <v>0</v>
      </c>
      <c r="F32" s="12" t="s">
        <v>59</v>
      </c>
    </row>
    <row r="33" spans="1:8" ht="28" customHeight="1" x14ac:dyDescent="0.35">
      <c r="A33" s="19">
        <v>0</v>
      </c>
      <c r="B33" s="2" t="s">
        <v>11</v>
      </c>
      <c r="C33" s="14">
        <f t="shared" si="3"/>
        <v>220</v>
      </c>
      <c r="D33" s="14">
        <f t="shared" si="4"/>
        <v>0</v>
      </c>
      <c r="F33" s="12" t="s">
        <v>59</v>
      </c>
    </row>
    <row r="34" spans="1:8" ht="28" customHeight="1" x14ac:dyDescent="0.35">
      <c r="A34" s="19">
        <v>0</v>
      </c>
      <c r="B34" s="2" t="s">
        <v>12</v>
      </c>
      <c r="C34" s="14">
        <f t="shared" si="3"/>
        <v>220</v>
      </c>
      <c r="D34" s="14">
        <f t="shared" si="4"/>
        <v>0</v>
      </c>
      <c r="F34" s="12" t="s">
        <v>59</v>
      </c>
    </row>
    <row r="35" spans="1:8" ht="28" customHeight="1" x14ac:dyDescent="0.35">
      <c r="A35" s="19">
        <v>0</v>
      </c>
      <c r="B35" s="2" t="s">
        <v>13</v>
      </c>
      <c r="C35" s="14">
        <f t="shared" si="3"/>
        <v>220</v>
      </c>
      <c r="D35" s="14">
        <f t="shared" si="4"/>
        <v>0</v>
      </c>
      <c r="F35" s="12" t="s">
        <v>59</v>
      </c>
    </row>
    <row r="36" spans="1:8" ht="28" customHeight="1" x14ac:dyDescent="0.35">
      <c r="A36" s="19">
        <v>0</v>
      </c>
      <c r="B36" s="2" t="s">
        <v>14</v>
      </c>
      <c r="C36" s="14">
        <f t="shared" si="3"/>
        <v>220</v>
      </c>
      <c r="D36" s="14">
        <f t="shared" si="4"/>
        <v>0</v>
      </c>
      <c r="F36" s="12" t="s">
        <v>59</v>
      </c>
    </row>
    <row r="37" spans="1:8" ht="28" customHeight="1" x14ac:dyDescent="0.35">
      <c r="A37" s="19">
        <v>0</v>
      </c>
      <c r="B37" s="2" t="s">
        <v>51</v>
      </c>
      <c r="C37" s="14">
        <f t="shared" si="3"/>
        <v>220</v>
      </c>
      <c r="D37" s="14">
        <f t="shared" si="4"/>
        <v>0</v>
      </c>
      <c r="F37" s="12" t="s">
        <v>59</v>
      </c>
    </row>
    <row r="38" spans="1:8" ht="4" customHeight="1" x14ac:dyDescent="0.35">
      <c r="A38" s="19"/>
      <c r="B38" s="2"/>
      <c r="C38" s="14"/>
      <c r="D38" s="14">
        <f t="shared" si="4"/>
        <v>0</v>
      </c>
      <c r="F38" s="12"/>
    </row>
    <row r="39" spans="1:8" ht="28" customHeight="1" x14ac:dyDescent="0.35">
      <c r="A39" s="19">
        <v>0</v>
      </c>
      <c r="B39" s="2" t="s">
        <v>15</v>
      </c>
      <c r="C39" s="14">
        <f>$C$57</f>
        <v>220</v>
      </c>
      <c r="D39" s="14">
        <f t="shared" si="4"/>
        <v>0</v>
      </c>
      <c r="F39" s="12" t="s">
        <v>59</v>
      </c>
    </row>
    <row r="40" spans="1:8" ht="28" customHeight="1" x14ac:dyDescent="0.35">
      <c r="A40" s="19">
        <v>14</v>
      </c>
      <c r="B40" s="2" t="s">
        <v>16</v>
      </c>
      <c r="C40" s="14">
        <f>$C$57</f>
        <v>220</v>
      </c>
      <c r="D40" s="14">
        <f t="shared" si="4"/>
        <v>3080</v>
      </c>
      <c r="F40" s="12" t="s">
        <v>60</v>
      </c>
    </row>
    <row r="41" spans="1:8" ht="4" customHeight="1" x14ac:dyDescent="0.35">
      <c r="A41" s="19"/>
      <c r="B41" s="2"/>
      <c r="C41" s="14"/>
      <c r="D41" s="14">
        <f t="shared" si="4"/>
        <v>0</v>
      </c>
      <c r="F41" s="12"/>
    </row>
    <row r="42" spans="1:8" x14ac:dyDescent="0.35">
      <c r="A42" s="20">
        <f>SUM(A32:A41)</f>
        <v>14</v>
      </c>
      <c r="C42" s="15" t="s">
        <v>61</v>
      </c>
      <c r="D42" s="16">
        <f>SUM(D32:D41)</f>
        <v>3080</v>
      </c>
      <c r="F42" t="s">
        <v>62</v>
      </c>
      <c r="H42" s="25">
        <f>ROUNDUP(H28/$C$54*$C$53,0)</f>
        <v>8</v>
      </c>
    </row>
    <row r="45" spans="1:8" x14ac:dyDescent="0.35">
      <c r="C45" s="6" t="s">
        <v>63</v>
      </c>
      <c r="D45" s="17">
        <f>D14+D28+D42</f>
        <v>54220</v>
      </c>
    </row>
    <row r="46" spans="1:8" x14ac:dyDescent="0.35">
      <c r="D46" s="14"/>
    </row>
    <row r="47" spans="1:8" x14ac:dyDescent="0.35">
      <c r="B47" s="2" t="s">
        <v>64</v>
      </c>
      <c r="D47" s="14"/>
    </row>
    <row r="48" spans="1:8" x14ac:dyDescent="0.35">
      <c r="B48" t="s">
        <v>65</v>
      </c>
      <c r="D48" s="14">
        <f>D28+SUMPRODUCT(H5:H12,C5:C12)</f>
        <v>48258.5</v>
      </c>
    </row>
    <row r="49" spans="1:4" x14ac:dyDescent="0.35">
      <c r="B49" t="s">
        <v>66</v>
      </c>
      <c r="D49" s="14">
        <f>D42+SUMPRODUCT(I5:I12,C5:C12)</f>
        <v>5934</v>
      </c>
    </row>
    <row r="50" spans="1:4" x14ac:dyDescent="0.35">
      <c r="A50" s="4"/>
      <c r="B50" t="s">
        <v>67</v>
      </c>
      <c r="C50" s="5" t="s">
        <v>68</v>
      </c>
      <c r="D50" s="8">
        <v>8</v>
      </c>
    </row>
    <row r="51" spans="1:4" x14ac:dyDescent="0.35">
      <c r="B51" t="s">
        <v>69</v>
      </c>
      <c r="C51" t="s">
        <v>68</v>
      </c>
      <c r="D51" s="8">
        <f>D50*9/16</f>
        <v>4.5</v>
      </c>
    </row>
    <row r="52" spans="1:4" x14ac:dyDescent="0.35">
      <c r="B52" s="2" t="s">
        <v>70</v>
      </c>
      <c r="C52" t="s">
        <v>68</v>
      </c>
      <c r="D52" s="9">
        <f>A5*D50-A59</f>
        <v>15</v>
      </c>
    </row>
    <row r="53" spans="1:4" ht="21.4" customHeight="1" x14ac:dyDescent="0.35">
      <c r="C53" s="27">
        <v>1.3</v>
      </c>
      <c r="D53" s="12" t="s">
        <v>71</v>
      </c>
    </row>
    <row r="54" spans="1:4" ht="21.4" customHeight="1" x14ac:dyDescent="0.35">
      <c r="C54" s="28">
        <v>30</v>
      </c>
      <c r="D54" s="12" t="s">
        <v>72</v>
      </c>
    </row>
    <row r="55" spans="1:4" x14ac:dyDescent="0.35">
      <c r="B55" s="2" t="s">
        <v>17</v>
      </c>
    </row>
    <row r="56" spans="1:4" x14ac:dyDescent="0.35">
      <c r="B56" t="s">
        <v>73</v>
      </c>
    </row>
    <row r="57" spans="1:4" x14ac:dyDescent="0.35">
      <c r="B57" t="s">
        <v>74</v>
      </c>
      <c r="C57" s="26">
        <v>220</v>
      </c>
    </row>
    <row r="58" spans="1:4" x14ac:dyDescent="0.35">
      <c r="B58" t="s">
        <v>75</v>
      </c>
    </row>
    <row r="59" spans="1:4" x14ac:dyDescent="0.35">
      <c r="A59" s="10">
        <v>1</v>
      </c>
      <c r="B59" t="s">
        <v>76</v>
      </c>
    </row>
    <row r="60" spans="1:4" x14ac:dyDescent="0.35">
      <c r="A60" s="11">
        <v>0.25</v>
      </c>
      <c r="B60" t="s">
        <v>77</v>
      </c>
    </row>
    <row r="61" spans="1:4" x14ac:dyDescent="0.35">
      <c r="B61" t="s">
        <v>78</v>
      </c>
    </row>
    <row r="62" spans="1:4" x14ac:dyDescent="0.35">
      <c r="B62" t="s">
        <v>79</v>
      </c>
    </row>
    <row r="63" spans="1:4" x14ac:dyDescent="0.35">
      <c r="B63" t="s">
        <v>80</v>
      </c>
    </row>
    <row r="64" spans="1:4" x14ac:dyDescent="0.35">
      <c r="B64" t="s">
        <v>81</v>
      </c>
    </row>
    <row r="65" spans="2:2" x14ac:dyDescent="0.35">
      <c r="B65" t="s">
        <v>82</v>
      </c>
    </row>
    <row r="66" spans="2:2" x14ac:dyDescent="0.35">
      <c r="B66" t="s">
        <v>83</v>
      </c>
    </row>
    <row r="67" spans="2:2" x14ac:dyDescent="0.35">
      <c r="B67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Raptors Tech Estimate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Garrett Reynolds</cp:lastModifiedBy>
  <dcterms:modified xsi:type="dcterms:W3CDTF">2026-09-18T16:58:23Z</dcterms:modified>
</cp:coreProperties>
</file>