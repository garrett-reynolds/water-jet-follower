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92bfe1a41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0353763c6b4c81"/>
    <x:sheet xmlns:r="http://schemas.openxmlformats.org/officeDocument/2006/relationships" name="Materials" sheetId="2" r:id="Rfa2e668a2982446a"/>
    <x:sheet xmlns:r="http://schemas.openxmlformats.org/officeDocument/2006/relationships" name="Geometry" sheetId="3" r:id="Rc5cc89115a4149ac"/>
    <x:sheet xmlns:r="http://schemas.openxmlformats.org/officeDocument/2006/relationships" name="Sources" sheetId="4" r:id="R3254381da8a3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CAD $&quot;#,##0&quot; [U]&quot;"/>
    <x:numFmt numFmtId="201" formatCode="&quot;CAD $&quot;#,##0&quot; [V]&quot;"/>
    <x:numFmt numFmtId="202" formatCode="0%&quot; [U]&quot;"/>
    <x:numFmt numFmtId="203" formatCode="0.00&quot; [U]&quot;"/>
    <x:numFmt numFmtId="204" formatCode="0.00&quot; [V]&quot;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a58148d3f4c06" /><Relationship Type="http://schemas.openxmlformats.org/officeDocument/2006/relationships/theme" Target="/xl/theme/theme1.xml" Id="Rbb4c7a63dd444dce" /><Relationship Type="http://schemas.openxmlformats.org/officeDocument/2006/relationships/sharedStrings" Target="/xl/sharedStrings.xml" Id="R8ec0b9be0349471e" /><Relationship Type="http://schemas.openxmlformats.org/officeDocument/2006/relationships/worksheet" Target="/xl/worksheets/sheet1.xml" Id="R210353763c6b4c81" /><Relationship Type="http://schemas.openxmlformats.org/officeDocument/2006/relationships/worksheet" Target="/xl/worksheets/sheet2.xml" Id="Rfa2e668a2982446a" /><Relationship Type="http://schemas.openxmlformats.org/officeDocument/2006/relationships/worksheet" Target="/xl/worksheets/sheet3.xml" Id="Rc5cc89115a4149ac" /><Relationship Type="http://schemas.openxmlformats.org/officeDocument/2006/relationships/worksheet" Target="/xl/worksheets/sheet4.xml" Id="R3254381da8a3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80" hidden="0" customWidth="1"/>
  </x:cols>
  <x:sheetData>
    <x:row r="1" ht="43" customHeight="1">
      <x:c r="A1" s="3" t="str">
        <x:v>Subject:</x:v>
      </x:c>
      <x:c r="B1" s="3" t="str">
        <x:v>ROM Raptors - landscape rear projection on one wall</x:v>
      </x:c>
      <x:c r="C1" s="3"/>
    </x:row>
    <x:row r="2" ht="43" customHeight="1">
      <x:c r="A2" s="3" t="str">
        <x:v>Prepared:</x:v>
      </x:c>
      <x:c r="B2" s="3" t="str">
        <x:v>Sep 18 2026</x:v>
      </x:c>
      <x:c r="C2" s="3"/>
    </x:row>
    <x:row r="3" ht="43" customHeight="1">
      <x:c r="A3" s="3" t="str">
        <x:v>Skill:</x:v>
      </x:c>
      <x:c r="B3" s="3" t="str">
        <x:v>project-estimate / electronics-bom</x:v>
      </x:c>
      <x:c r="C3" s="3"/>
    </x:row>
    <x:row r="4" ht="43" customHeight="1">
      <x:c r="A4" s="3" t="str">
        <x:v>Currency:</x:v>
      </x:c>
      <x:c r="B4" s="3" t="str">
        <x:v>CAD $; FX n/a - foreign materials use CAD allowances</x:v>
      </x:c>
      <x:c r="C4" s="3"/>
    </x:row>
    <x:row r="5" ht="43" customHeight="1">
      <x:c r="A5" s="3" t="str">
        <x:v>Tax:</x:v>
      </x:c>
      <x:c r="B5" s="3" t="str">
        <x:v>HST 13% excluded</x:v>
      </x:c>
      <x:c r="C5" s="3"/>
    </x:row>
    <x:row r="6" ht="43" customHeight="1">
      <x:c r="A6" s="3" t="str">
        <x:v>Verification:</x:v>
      </x:c>
      <x:c r="B6" s="3" t="str">
        <x:v>[V] vendor source read today; [T] third party; [U] unverified estimate / calculated design</x:v>
      </x:c>
      <x:c r="C6" s="3"/>
    </x:row>
    <x:row r="7" ht="28" customHeight="1">
      <x:c r="A7" s="3"/>
      <x:c r="B7" s="3"/>
      <x:c r="C7" s="3"/>
    </x:row>
    <x:row r="8" ht="35" customHeight="1">
      <x:c r="A8" s="5" t="str">
        <x:v>Layout</x:v>
      </x:c>
      <x:c r="B8" s="5" t="str">
        <x:v>Low purchase allowance</x:v>
      </x:c>
      <x:c r="C8" s="5" t="str">
        <x:v>High purchase allowance</x:v>
      </x:c>
    </x:row>
    <x:row r="9" ht="28" customHeight="1">
      <x:c r="A9" s="3" t="str">
        <x:v>Two landscape USTs [U]</x:v>
      </x:c>
      <x:c r="B9" s="6" t="n">
        <x:f>'Materials'!F15</x:f>
        <x:v>12322.5</x:v>
      </x:c>
      <x:c r="C9" s="6" t="n">
        <x:f>'Materials'!G15</x:f>
        <x:v>18010</x:v>
      </x:c>
    </x:row>
    <x:row r="10" ht="28" customHeight="1">
      <x:c r="A10" s="3" t="str">
        <x:v>Three landscape USTs [U]</x:v>
      </x:c>
      <x:c r="B10" s="6" t="n">
        <x:f>('Materials'!F13+'Materials'!D4+'Materials'!D5+'Materials'!D9)*(1+'Materials'!D14)</x:f>
        <x:v>16327.5</x:v>
      </x:c>
      <x:c r="C10" s="6" t="n">
        <x:f>('Materials'!G13+'Materials'!E4+'Materials'!E5+'Materials'!E9)*(1+'Materials'!D14)</x:f>
        <x:v>22452.5</x:v>
      </x:c>
    </x:row>
    <x:row r="11" ht="28" customHeight="1">
      <x:c r="A11" s="3"/>
      <x:c r="B11" s="3"/>
      <x:c r="C11" s="3"/>
    </x:row>
    <x:row r="12" ht="64" customHeight="1">
      <x:c r="A12" s="3" t="str">
        <x:v>Proposed baseline</x:v>
      </x:c>
      <x:c r="B12" s="3" t="str">
        <x:v>Two landscape projectors [U]</x:v>
      </x:c>
      <x:c r="C12" s="3" t="str">
        <x:v>Each image approx. 8 x 4.5 ft, with a 1 ft overlap. Combined projected area is 15 x 4.5 ft.</x:v>
      </x:c>
    </x:row>
    <x:row r="13" ht="64" customHeight="1">
      <x:c r="A13" s="3" t="str">
        <x:v>Shallower-throw branch</x:v>
      </x:c>
      <x:c r="B13" s="3" t="str">
        <x:v>Three landscape projectors [U]</x:v>
      </x:c>
      <x:c r="C13" s="3" t="str">
        <x:v>Each image approx. 5.5 x 3.09 ft, with 0.75 ft overlaps. More projectors, shorter image height.</x:v>
      </x:c>
    </x:row>
    <x:row r="14" ht="64" customHeight="1">
      <x:c r="A14" s="3" t="str">
        <x:v>Rear space</x:v>
      </x:c>
      <x:c r="B14" s="3" t="str">
        <x:v>Less than 4 ft / undecided</x:v>
      </x:c>
      <x:c r="C14" s="3" t="str">
        <x:v>User constraint: less than 4 ft / undecided. Keep a provisional 3-3.5 ft bay pending model-specific mounting drawings [U].</x:v>
      </x:c>
    </x:row>
    <x:row r="15" ht="64" customHeight="1">
      <x:c r="A15" s="3" t="str">
        <x:v>Scope</x:v>
      </x:c>
      <x:c r="B15" s="3" t="str">
        <x:v>One flat 15 ft long wall</x:v>
      </x:c>
      <x:c r="C15" s="3" t="str">
        <x:v>Projected height approx. 4.5 ft in baseline [U]. Tunnel stays 8 ft tall. Fabric allowance retains a full-height wall panel.</x:v>
      </x:c>
    </x:row>
    <x:row r="16" ht="64" customHeight="1">
      <x:c r="A16" s="3" t="str">
        <x:v>Excluded</x:v>
      </x:c>
      <x:c r="B16" s="3" t="str">
        <x:v>Labour, content and tunnel structure</x:v>
      </x:c>
      <x:c r="C16" s="3" t="str">
        <x:v>Also excludes software, tracking, audio, spare projector and ongoing support.</x:v>
      </x:c>
    </x:row>
    <x:row r="17" ht="64" customHeight="1">
      <x:c r="A17" s="3" t="str">
        <x:v>Existing PC</x:v>
      </x:c>
      <x:c r="B17" s="3" t="str">
        <x:v>Potential saving [U]</x:v>
      </x:c>
      <x:c r="C17" s="3" t="str">
        <x:v>Deduct the PC allowance only if available hardware passes output and playback testing.</x:v>
      </x:c>
    </x:row>
    <x:row r="18" ht="64" customHeight="1">
      <x:c r="A18" s="3" t="str">
        <x:v>Materials contingency</x:v>
      </x:c>
      <x:c r="B18" s="3" t="str">
        <x:v>25% [U]</x:v>
      </x:c>
      <x:c r="C18" s="3" t="str">
        <x:v>Design still moving. Applies to projector price plus estimated ancillary purchases.</x:v>
      </x:c>
    </x:row>
    <x:row r="19" ht="64" customHeight="1">
      <x:c r="A19" s="3" t="str">
        <x:v>Geometry</x:v>
      </x:c>
      <x:c r="B19" s="3" t="str">
        <x:v>Coverage is calculated [U]</x:v>
      </x:c>
      <x:c r="C19" s="3" t="str">
        <x:v>Coverage calculation does not prove brightness, physical fit or acceptable blending. Images need one shared playback system.</x:v>
      </x:c>
    </x:row>
    <x:row r="20" ht="64" customHeight="1">
      <x:c r="A20" s="3" t="str">
        <x:v>Procurement</x:v>
      </x:c>
      <x:c r="B20" s="3" t="str">
        <x:v>Budget only</x:v>
      </x:c>
      <x:c r="C20" s="3" t="str">
        <x:v>No equipment ordered. Confirm stock, final quotes and prototype result before procurement.</x:v>
      </x:c>
    </x:row>
    <x:row r="21" ht="28" customHeight="1">
      <x:c r="A21" s="3"/>
      <x:c r="B21" s="3"/>
      <x:c r="C21" s="3"/>
    </x:row>
    <x:row r="22" ht="28" customHeight="1">
      <x:c r="A22" s="3"/>
      <x:c r="B22" s="3"/>
      <x:c r="C22" s="3"/>
    </x:row>
    <x:row r="23" ht="28" customHeight="1">
      <x:c r="A23" s="3"/>
      <x:c r="B23" s="3"/>
      <x:c r="C23" s="3"/>
    </x:row>
    <x:row r="24" ht="28" customHeight="1">
      <x:c r="A24" s="3"/>
      <x:c r="B24" s="3"/>
      <x:c r="C24" s="3"/>
    </x:row>
    <x:row r="25" ht="28" customHeight="1">
      <x:c r="A25" s="3"/>
      <x:c r="B25" s="3"/>
      <x:c r="C2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43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65" hidden="0" customWidth="1"/>
  </x:cols>
  <x:sheetData>
    <x:row r="1" ht="28" customHeight="1">
      <x:c r="A1" s="3" t="str">
        <x:v>Two-projector landscape purchase estimate - one wall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35" customHeight="1">
      <x:c r="A3" s="5" t="str">
        <x:v>#</x:v>
      </x:c>
      <x:c r="B3" s="5" t="str">
        <x:v>Item</x:v>
      </x:c>
      <x:c r="C3" s="5" t="str">
        <x:v>Qty [U]</x:v>
      </x:c>
      <x:c r="D3" s="5" t="str">
        <x:v>Unit low CAD</x:v>
      </x:c>
      <x:c r="E3" s="5" t="str">
        <x:v>Unit high CAD</x:v>
      </x:c>
      <x:c r="F3" s="5" t="str">
        <x:v>Total low CAD</x:v>
      </x:c>
      <x:c r="G3" s="5" t="str">
        <x:v>Total high CAD</x:v>
      </x:c>
      <x:c r="H3" s="5" t="str">
        <x:v>Verification / scope</x:v>
      </x:c>
      <x:c r="I3" s="5" t="str">
        <x:v>Source</x:v>
      </x:c>
    </x:row>
    <x:row r="4" ht="70" customHeight="1">
      <x:c r="A4" s="3" t="n">
        <x:v>1</x:v>
      </x:c>
      <x:c r="B4" s="3" t="str">
        <x:v>Epson PowerLite 770F UST laser projector</x:v>
      </x:c>
      <x:c r="C4" s="3" t="n">
        <x:v>2</x:v>
      </x:c>
      <x:c r="D4" s="7" t="n">
        <x:v>2854</x:v>
      </x:c>
      <x:c r="E4" s="7" t="n">
        <x:v>2854</x:v>
      </x:c>
      <x:c r="F4" s="6" t="n">
        <x:f>C4*D4</x:f>
        <x:v>5708</x:v>
      </x:c>
      <x:c r="G4" s="6" t="n">
        <x:f>C4*E4</x:f>
        <x:v>5708</x:v>
      </x:c>
      <x:c r="H4" s="3" t="str">
        <x:v>[V] advertised CAD unit price; [U] selection and quantity. Confirm stock and project suitability.</x:v>
      </x:c>
      <x:c r="I4" s="3" t="str">
        <x:v>https://epson.ca/For-Work/Projectors/Classroom/PowerLite-770F-1080p-3LCD-Ultra-Short-Throw-Lamp-Free-Laser-Display/p/V11HA79020</x:v>
      </x:c>
    </x:row>
    <x:row r="5" ht="70" customHeight="1">
      <x:c r="A5" s="3" t="n">
        <x:v>2</x:v>
      </x:c>
      <x:c r="B5" s="3" t="str">
        <x:v>Landscape mounts / adjustable brackets / safety hardware</x:v>
      </x:c>
      <x:c r="C5" s="3" t="n">
        <x:v>2</x:v>
      </x:c>
      <x:c r="D5" s="6" t="n">
        <x:v>250</x:v>
      </x:c>
      <x:c r="E5" s="6" t="n">
        <x:v>500</x:v>
      </x:c>
      <x:c r="F5" s="6" t="n">
        <x:f>C5*D5</x:f>
        <x:v>500</x:v>
      </x:c>
      <x:c r="G5" s="6" t="n">
        <x:f>C5*E5</x:f>
        <x:v>1000</x:v>
      </x:c>
      <x:c r="H5" s="3" t="str">
        <x:v>[U] allowance. Quote a suitable fixed landscape mounting solution.</x:v>
      </x:c>
      <x:c r="I5" s="3" t="str">
        <x:v>N/A</x:v>
      </x:c>
    </x:row>
    <x:row r="6" ht="70" customHeight="1">
      <x:c r="A6" s="3" t="n">
        <x:v>3</x:v>
      </x:c>
      <x:c r="B6" s="3" t="str">
        <x:v>Finished rear-projection fabric panel</x:v>
      </x:c>
      <x:c r="C6" s="3" t="n">
        <x:v>1</x:v>
      </x:c>
      <x:c r="D6" s="6" t="n">
        <x:v>700</x:v>
      </x:c>
      <x:c r="E6" s="6" t="n">
        <x:v>1600</x:v>
      </x:c>
      <x:c r="F6" s="6" t="n">
        <x:f>C6*D6</x:f>
        <x:v>700</x:v>
      </x:c>
      <x:c r="G6" s="6" t="n">
        <x:f>C6*E6</x:f>
        <x:v>1600</x:v>
      </x:c>
      <x:c r="H6" s="3" t="str">
        <x:v>[U] CAD allowance. Full-height white wall panel retained; projected area 15 x 4.5 ft. Quote approximately 6 linear yards of 122-inch fabric with finishing.</x:v>
      </x:c>
      <x:c r="I6" s="3" t="str">
        <x:v>https://www.rosebrand.com/softscreen-122-in-ifr-white [US]</x:v>
      </x:c>
    </x:row>
    <x:row r="7" ht="70" customHeight="1">
      <x:c r="A7" s="3" t="n">
        <x:v>4</x:v>
      </x:c>
      <x:c r="B7" s="3" t="str">
        <x:v>Perimeter screen tensioning / fixing hardware</x:v>
      </x:c>
      <x:c r="C7" s="3" t="n">
        <x:v>1</x:v>
      </x:c>
      <x:c r="D7" s="6" t="n">
        <x:v>300</x:v>
      </x:c>
      <x:c r="E7" s="6" t="n">
        <x:v>800</x:v>
      </x:c>
      <x:c r="F7" s="6" t="n">
        <x:f>C7*D7</x:f>
        <x:v>300</x:v>
      </x:c>
      <x:c r="G7" s="6" t="n">
        <x:f>C7*E7</x:f>
        <x:v>800</x:v>
      </x:c>
      <x:c r="H7" s="3" t="str">
        <x:v>[U] allowance. Keep framing and braces out of image beam paths. Main tunnel structure excluded.</x:v>
      </x:c>
      <x:c r="I7" s="3" t="str">
        <x:v>N/A</x:v>
      </x:c>
    </x:row>
    <x:row r="8" ht="70" customHeight="1">
      <x:c r="A8" s="3" t="n">
        <x:v>5</x:v>
      </x:c>
      <x:c r="B8" s="3" t="str">
        <x:v>Playback PC with two independent display outputs</x:v>
      </x:c>
      <x:c r="C8" s="3" t="n">
        <x:v>1</x:v>
      </x:c>
      <x:c r="D8" s="6" t="n">
        <x:v>1500</x:v>
      </x:c>
      <x:c r="E8" s="6" t="n">
        <x:v>2500</x:v>
      </x:c>
      <x:c r="F8" s="6" t="n">
        <x:f>C8*D8</x:f>
        <x:v>1500</x:v>
      </x:c>
      <x:c r="G8" s="6" t="n">
        <x:f>C8*E8</x:f>
        <x:v>2500</x:v>
      </x:c>
      <x:c r="H8" s="3" t="str">
        <x:v>[U] allowance. Discrete GPU, 16-32 GB RAM and SSD. Verify two simultaneous 1080p outputs and actual content performance.</x:v>
      </x:c>
      <x:c r="I8" s="3" t="str">
        <x:v>N/A</x:v>
      </x:c>
    </x:row>
    <x:row r="9" ht="70" customHeight="1">
      <x:c r="A9" s="3" t="n">
        <x:v>6</x:v>
      </x:c>
      <x:c r="B9" s="3" t="str">
        <x:v>Video cables / display adapters</x:v>
      </x:c>
      <x:c r="C9" s="3" t="n">
        <x:v>2</x:v>
      </x:c>
      <x:c r="D9" s="6" t="n">
        <x:v>100</x:v>
      </x:c>
      <x:c r="E9" s="6" t="n">
        <x:v>200</x:v>
      </x:c>
      <x:c r="F9" s="6" t="n">
        <x:f>C9*D9</x:f>
        <x:v>200</x:v>
      </x:c>
      <x:c r="G9" s="6" t="n">
        <x:f>C9*E9</x:f>
        <x:v>400</x:v>
      </x:c>
      <x:c r="H9" s="3" t="str">
        <x:v>[U] allowance. Two independent image feeds, not a mirroring splitter. Confirm cable routes and lengths.</x:v>
      </x:c>
      <x:c r="I9" s="3" t="str">
        <x:v>N/A</x:v>
      </x:c>
    </x:row>
    <x:row r="10" ht="70" customHeight="1">
      <x:c r="A10" s="3" t="n">
        <x:v>7</x:v>
      </x:c>
      <x:c r="B10" s="3" t="str">
        <x:v>Opaque rear service-bay masking</x:v>
      </x:c>
      <x:c r="C10" s="3" t="n">
        <x:v>1</x:v>
      </x:c>
      <x:c r="D10" s="6" t="n">
        <x:v>500</x:v>
      </x:c>
      <x:c r="E10" s="6" t="n">
        <x:v>1200</x:v>
      </x:c>
      <x:c r="F10" s="6" t="n">
        <x:f>C10*D10</x:f>
        <x:v>500</x:v>
      </x:c>
      <x:c r="G10" s="6" t="n">
        <x:f>C10*E10</x:f>
        <x:v>1200</x:v>
      </x:c>
      <x:c r="H10" s="3" t="str">
        <x:v>[U] allowance. Black out the bay around the beam paths; leave ventilation and service access.</x:v>
      </x:c>
      <x:c r="I10" s="3" t="str">
        <x:v>N/A</x:v>
      </x:c>
    </x:row>
    <x:row r="11" ht="70" customHeight="1">
      <x:c r="A11" s="3" t="n">
        <x:v>8</x:v>
      </x:c>
      <x:c r="B11" s="3" t="str">
        <x:v>Power distribution / network control cables</x:v>
      </x:c>
      <x:c r="C11" s="3" t="n">
        <x:v>1</x:v>
      </x:c>
      <x:c r="D11" s="6" t="n">
        <x:v>250</x:v>
      </x:c>
      <x:c r="E11" s="6" t="n">
        <x:v>600</x:v>
      </x:c>
      <x:c r="F11" s="6" t="n">
        <x:f>C11*D11</x:f>
        <x:v>250</x:v>
      </x:c>
      <x:c r="G11" s="6" t="n">
        <x:f>C11*E11</x:f>
        <x:v>600</x:v>
      </x:c>
      <x:c r="H11" s="3" t="str">
        <x:v>[U] allowance. Venue to confirm circuits and total installed load.</x:v>
      </x:c>
      <x:c r="I11" s="3" t="str">
        <x:v>N/A</x:v>
      </x:c>
    </x:row>
    <x:row r="12" ht="70" customHeight="1">
      <x:c r="A12" s="3" t="n">
        <x:v>9</x:v>
      </x:c>
      <x:c r="B12" s="3" t="str">
        <x:v>Shipping / import brokerage / consumables</x:v>
      </x:c>
      <x:c r="C12" s="3" t="n">
        <x:v>1</x:v>
      </x:c>
      <x:c r="D12" s="6" t="n">
        <x:v>200</x:v>
      </x:c>
      <x:c r="E12" s="6" t="n">
        <x:v>600</x:v>
      </x:c>
      <x:c r="F12" s="6" t="n">
        <x:f>C12*D12</x:f>
        <x:v>200</x:v>
      </x:c>
      <x:c r="G12" s="6" t="n">
        <x:f>C12*E12</x:f>
        <x:v>600</x:v>
      </x:c>
      <x:c r="H12" s="3" t="str">
        <x:v>[U] allowance. Replace with supplier quotes.</x:v>
      </x:c>
      <x:c r="I12" s="3" t="str">
        <x:v>N/A</x:v>
      </x:c>
    </x:row>
    <x:row r="13" ht="28" customHeight="1">
      <x:c r="A13" s="3"/>
      <x:c r="B13" s="3" t="str">
        <x:v>Subtotal</x:v>
      </x:c>
      <x:c r="C13" s="3"/>
      <x:c r="D13" s="3"/>
      <x:c r="E13" s="3"/>
      <x:c r="F13" s="6" t="n">
        <x:f>SUM(F4:F12)</x:f>
        <x:v>9858</x:v>
      </x:c>
      <x:c r="G13" s="6" t="n">
        <x:f>SUM(G4:G12)</x:f>
        <x:v>14408</x:v>
      </x:c>
      <x:c r="H13" s="3"/>
      <x:c r="I13" s="3"/>
    </x:row>
    <x:row r="14" ht="28" customHeight="1">
      <x:c r="A14" s="3"/>
      <x:c r="B14" s="3" t="str">
        <x:v>Materials contingency [U]</x:v>
      </x:c>
      <x:c r="C14" s="3"/>
      <x:c r="D14" s="9" t="n">
        <x:v>0.25</x:v>
      </x:c>
      <x:c r="E14" s="3"/>
      <x:c r="F14" s="6" t="n">
        <x:f>F13*$D$14</x:f>
        <x:v>2464.5</x:v>
      </x:c>
      <x:c r="G14" s="6" t="n">
        <x:f>G13*$D$14</x:f>
        <x:v>3602</x:v>
      </x:c>
      <x:c r="H14" s="3"/>
      <x:c r="I14" s="3"/>
    </x:row>
    <x:row r="15" ht="28" customHeight="1">
      <x:c r="A15" s="10"/>
      <x:c r="B15" s="10" t="str">
        <x:v>Total including contingency</x:v>
      </x:c>
      <x:c r="C15" s="10"/>
      <x:c r="D15" s="10"/>
      <x:c r="E15" s="10"/>
      <x:c r="F15" s="11" t="n">
        <x:f>SUM(F13:F14)</x:f>
        <x:v>12322.5</x:v>
      </x:c>
      <x:c r="G15" s="11" t="n">
        <x:f>SUM(G13:G14)</x:f>
        <x:v>18010</x:v>
      </x:c>
      <x:c r="H15" s="10"/>
      <x:c r="I15" s="10"/>
    </x:row>
    <x:row r="16" ht="28" customHeight="1">
      <x:c r="A16" s="3"/>
      <x:c r="B16" s="3"/>
      <x:c r="C16" s="3"/>
      <x:c r="D16" s="3"/>
      <x:c r="E16" s="3"/>
      <x:c r="F16" s="3"/>
      <x:c r="G16" s="3"/>
      <x:c r="H16" s="3"/>
      <x:c r="I16" s="3"/>
    </x:row>
    <x:row r="17" ht="28" customHeight="1">
      <x:c r="A17" s="3"/>
      <x:c r="B17" s="3" t="str">
        <x:v>Price basis</x:v>
      </x:c>
      <x:c r="C17" s="3" t="str">
        <x:v>[V] Epson Canada</x:v>
      </x:c>
      <x:c r="D17" s="3" t="str">
        <x:v>[U] all other allowances</x:v>
      </x:c>
      <x:c r="E17" s="3" t="str">
        <x:v>HST excluded</x:v>
      </x:c>
      <x:c r="F17" s="3" t="str">
        <x:v>No labour</x:v>
      </x:c>
      <x:c r="G17" s="3" t="str">
        <x:v>No software</x:v>
      </x:c>
      <x:c r="H17" s="3" t="str">
        <x:v>No tracking / audio</x:v>
      </x:c>
      <x:c r="I17" s="3" t="str">
        <x:v>No main structure</x:v>
      </x:c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19" hidden="0" customWidth="1"/>
    <x:col min="5" max="5" width="77" hidden="0" customWidth="1"/>
  </x:cols>
  <x:sheetData>
    <x:row r="1" ht="28" customHeight="1">
      <x:c r="A1" s="3" t="str">
        <x:v>Wall coverage calculations</x:v>
      </x:c>
      <x:c r="B1" s="3"/>
      <x:c r="C1" s="3"/>
      <x:c r="D1" s="3"/>
      <x:c r="E1" s="3"/>
    </x:row>
    <x:row r="2" ht="28" customHeight="1">
      <x:c r="A2" s="3"/>
      <x:c r="B2" s="3"/>
      <x:c r="C2" s="3"/>
      <x:c r="D2" s="3"/>
      <x:c r="E2" s="3"/>
    </x:row>
    <x:row r="3" ht="35" customHeight="1">
      <x:c r="A3" s="5" t="str">
        <x:v>Input / calculation</x:v>
      </x:c>
      <x:c r="B3" s="5" t="str">
        <x:v>Two projectors</x:v>
      </x:c>
      <x:c r="C3" s="5" t="str">
        <x:v>Three projectors</x:v>
      </x:c>
      <x:c r="D3" s="5" t="str">
        <x:v>Units</x:v>
      </x:c>
      <x:c r="E3" s="5" t="str">
        <x:v>Basis</x:v>
      </x:c>
    </x:row>
    <x:row r="4" ht="45" customHeight="1">
      <x:c r="A4" s="3" t="str">
        <x:v>Wall length</x:v>
      </x:c>
      <x:c r="B4" s="12" t="n">
        <x:v>15</x:v>
      </x:c>
      <x:c r="C4" s="12" t="n">
        <x:v>15</x:v>
      </x:c>
      <x:c r="D4" s="3" t="str">
        <x:v>ft</x:v>
      </x:c>
      <x:c r="E4" s="3" t="str">
        <x:v>User-provided; flat wall assumption [U]</x:v>
      </x:c>
    </x:row>
    <x:row r="5" ht="45" customHeight="1">
      <x:c r="A5" s="3" t="str">
        <x:v>Wall height</x:v>
      </x:c>
      <x:c r="B5" s="12" t="n">
        <x:v>8</x:v>
      </x:c>
      <x:c r="C5" s="12" t="n">
        <x:v>8</x:v>
      </x:c>
      <x:c r="D5" s="3" t="str">
        <x:v>ft</x:v>
      </x:c>
      <x:c r="E5" s="3" t="str">
        <x:v>User-provided tunnel height [U]; no longer the required image height.</x:v>
      </x:c>
    </x:row>
    <x:row r="6" ht="45" customHeight="1">
      <x:c r="A6" s="3" t="str">
        <x:v>Tunnel internal width</x:v>
      </x:c>
      <x:c r="B6" s="12" t="n">
        <x:v>5</x:v>
      </x:c>
      <x:c r="C6" s="12" t="n">
        <x:v>5</x:v>
      </x:c>
      <x:c r="D6" s="3" t="str">
        <x:v>ft</x:v>
      </x:c>
      <x:c r="E6" s="3" t="str">
        <x:v>User-provided; does not provide rear throw space [U]</x:v>
      </x:c>
    </x:row>
    <x:row r="7" ht="45" customHeight="1">
      <x:c r="A7" s="3" t="str">
        <x:v>Projector count</x:v>
      </x:c>
      <x:c r="B7" s="12" t="n">
        <x:v>2</x:v>
      </x:c>
      <x:c r="C7" s="12" t="n">
        <x:v>3</x:v>
      </x:c>
      <x:c r="D7" s="3" t="str">
        <x:v>count</x:v>
      </x:c>
      <x:c r="E7" s="3" t="str">
        <x:v>Proposed [U]</x:v>
      </x:c>
    </x:row>
    <x:row r="8" ht="45" customHeight="1">
      <x:c r="A8" s="3" t="str">
        <x:v>Native landscape aspect ratio</x:v>
      </x:c>
      <x:c r="B8" s="13" t="n">
        <x:v>1.7777777777777777</x:v>
      </x:c>
      <x:c r="C8" s="13" t="n">
        <x:v>1.7777777777777777</x:v>
      </x:c>
      <x:c r="D8" s="3" t="str">
        <x:v>ratio</x:v>
      </x:c>
      <x:c r="E8" s="3" t="str">
        <x:v>[V] Epson specification; landscape orientation.</x:v>
      </x:c>
    </x:row>
    <x:row r="9" ht="45" customHeight="1">
      <x:c r="A9" s="3" t="str">
        <x:v>Overlap between adjacent images</x:v>
      </x:c>
      <x:c r="B9" s="12" t="n">
        <x:v>1</x:v>
      </x:c>
      <x:c r="C9" s="12" t="n">
        <x:v>0.75</x:v>
      </x:c>
      <x:c r="D9" s="3" t="str">
        <x:v>ft</x:v>
      </x:c>
      <x:c r="E9" s="3" t="str">
        <x:v>Design allowance [U]</x:v>
      </x:c>
    </x:row>
    <x:row r="10" ht="45" customHeight="1">
      <x:c r="A10" s="3" t="str">
        <x:v>Optical image width</x:v>
      </x:c>
      <x:c r="B10" s="12" t="n">
        <x:f>(B4+(B7-1)*B9)/B7</x:f>
        <x:v>8</x:v>
      </x:c>
      <x:c r="C10" s="12" t="n">
        <x:f>(C4+(C7-1)*C9)/C7</x:f>
        <x:v>5.5</x:v>
      </x:c>
      <x:c r="D10" s="3" t="str">
        <x:v>ft</x:v>
      </x:c>
      <x:c r="E10" s="3" t="str">
        <x:v>Calculated landscape width including overlaps [U]</x:v>
      </x:c>
    </x:row>
    <x:row r="11" ht="45" customHeight="1">
      <x:c r="A11" s="3" t="str">
        <x:v>Optical image height</x:v>
      </x:c>
      <x:c r="B11" s="12" t="n">
        <x:f>B10/B8</x:f>
        <x:v>4.5</x:v>
      </x:c>
      <x:c r="C11" s="12" t="n">
        <x:f>C10/C8</x:f>
        <x:v>3.09375</x:v>
      </x:c>
      <x:c r="D11" s="3" t="str">
        <x:v>ft</x:v>
      </x:c>
      <x:c r="E11" s="3" t="str">
        <x:v>Calculated from landscape 16:9 aspect ratio [U]</x:v>
      </x:c>
    </x:row>
    <x:row r="12" ht="45" customHeight="1">
      <x:c r="A12" s="3" t="str">
        <x:v>Nominal throw ratio</x:v>
      </x:c>
      <x:c r="B12" s="13" t="n">
        <x:v>0.25</x:v>
      </x:c>
      <x:c r="C12" s="13" t="n">
        <x:v>0.25</x:v>
      </x:c>
      <x:c r="D12" s="3" t="str">
        <x:v>ratio</x:v>
      </x:c>
      <x:c r="E12" s="3" t="str">
        <x:v>[V] Epson wide setting; physical datum must follow installation guide</x:v>
      </x:c>
    </x:row>
    <x:row r="13" ht="45" customHeight="1">
      <x:c r="A13" s="3" t="str">
        <x:v>Nominal optical throw</x:v>
      </x:c>
      <x:c r="B13" s="12" t="n">
        <x:f>B10*B12</x:f>
        <x:v>2</x:v>
      </x:c>
      <x:c r="C13" s="12" t="n">
        <x:f>C10*C12</x:f>
        <x:v>1.375</x:v>
      </x:c>
      <x:c r="D13" s="3" t="str">
        <x:v>ft</x:v>
      </x:c>
      <x:c r="E13" s="3" t="str">
        <x:v>Calculated from landscape image width [U]. Not the complete rear-bay depth.</x:v>
      </x:c>
    </x:row>
    <x:row r="14" ht="45" customHeight="1">
      <x:c r="A14" s="3" t="str">
        <x:v>Optical diagonal</x:v>
      </x:c>
      <x:c r="B14" s="12" t="n">
        <x:f>SQRT(B10^2+B11^2)*12</x:f>
        <x:v>110.14535850411491</x:v>
      </x:c>
      <x:c r="C14" s="12" t="n">
        <x:f>SQRT(C10^2+C11^2)*12</x:f>
        <x:v>75.724933971579</x:v>
      </x:c>
      <x:c r="D14" s="3" t="str">
        <x:v>in</x:v>
      </x:c>
      <x:c r="E14" s="3" t="str">
        <x:v>Calculated [U]; compare to published 60-150 inch range [V]</x:v>
      </x:c>
    </x:row>
    <x:row r="15" ht="45" customHeight="1">
      <x:c r="A15" s="3" t="str">
        <x:v>Unused wall height</x:v>
      </x:c>
      <x:c r="B15" s="12" t="n">
        <x:f>MAX(0,B5-B11)</x:f>
        <x:v>3.5</x:v>
      </x:c>
      <x:c r="C15" s="12" t="n">
        <x:f>MAX(0,C5-C11)</x:f>
        <x:v>4.90625</x:v>
      </x:c>
      <x:c r="D15" s="3" t="str">
        <x:v>ft</x:v>
      </x:c>
      <x:c r="E15" s="3" t="str">
        <x:v>Calculated non-projected wall height [U]</x:v>
      </x:c>
    </x:row>
    <x:row r="16" ht="45" customHeight="1">
      <x:c r="A16" s="3" t="str">
        <x:v>Visible image height</x:v>
      </x:c>
      <x:c r="B16" s="12" t="n">
        <x:f>B11</x:f>
        <x:v>4.5</x:v>
      </x:c>
      <x:c r="C16" s="12" t="n">
        <x:f>C11</x:f>
        <x:v>3.09375</x:v>
      </x:c>
      <x:c r="D16" s="3" t="str">
        <x:v>ft</x:v>
      </x:c>
      <x:c r="E16" s="3" t="str">
        <x:v>Calculated projected height [U]</x:v>
      </x:c>
    </x:row>
    <x:row r="17" ht="45" customHeight="1">
      <x:c r="A17" s="3" t="str">
        <x:v>Combined useful wall length</x:v>
      </x:c>
      <x:c r="B17" s="12" t="n">
        <x:f>B7*B10-(B7-1)*B9</x:f>
        <x:v>15</x:v>
      </x:c>
      <x:c r="C17" s="12" t="n">
        <x:f>C7*C10-(C7-1)*C9</x:f>
        <x:v>15</x:v>
      </x:c>
      <x:c r="D17" s="3" t="str">
        <x:v>ft</x:v>
      </x:c>
      <x:c r="E17" s="3" t="str">
        <x:v>Calculated [U]</x:v>
      </x:c>
    </x:row>
    <x:row r="18" ht="45" customHeight="1">
      <x:c r="A18" s="3" t="str">
        <x:v>Projector-only load</x:v>
      </x:c>
      <x:c r="B18" s="12" t="n">
        <x:f>B7*B22</x:f>
        <x:v>554</x:v>
      </x:c>
      <x:c r="C18" s="12" t="n">
        <x:f>C7*C22</x:f>
        <x:v>831</x:v>
      </x:c>
      <x:c r="D18" s="3" t="str">
        <x:v>W</x:v>
      </x:c>
      <x:c r="E18" s="3" t="str">
        <x:v>[V] 277 W per unit normal mode; calculated total [U]</x:v>
      </x:c>
    </x:row>
    <x:row r="19" ht="45" customHeight="1">
      <x:c r="A19" s="3" t="str">
        <x:v>Fabric roll width</x:v>
      </x:c>
      <x:c r="B19" s="13" t="n">
        <x:v>122</x:v>
      </x:c>
      <x:c r="C19" s="13" t="n">
        <x:v>122</x:v>
      </x:c>
      <x:c r="D19" s="3" t="str">
        <x:v>in</x:v>
      </x:c>
      <x:c r="E19" s="3" t="str">
        <x:v>[V] Rose Brand SoftScreen product</x:v>
      </x:c>
    </x:row>
    <x:row r="20" ht="45" customHeight="1">
      <x:c r="A20" s="3" t="str">
        <x:v>Fabric linear length allowance</x:v>
      </x:c>
      <x:c r="B20" s="12" t="n">
        <x:v>6</x:v>
      </x:c>
      <x:c r="C20" s="12" t="n">
        <x:v>6</x:v>
      </x:c>
      <x:c r="D20" s="3" t="str">
        <x:v>yd</x:v>
      </x:c>
      <x:c r="E20" s="3" t="str">
        <x:v>Proposed allowance [U]; final cut and finishing to be quoted</x:v>
      </x:c>
    </x:row>
    <x:row r="21" ht="45" customHeight="1">
      <x:c r="A21" s="3" t="str">
        <x:v>Fabric cut length</x:v>
      </x:c>
      <x:c r="B21" s="12" t="n">
        <x:f>B20*3</x:f>
        <x:v>18</x:v>
      </x:c>
      <x:c r="C21" s="12" t="n">
        <x:f>C20*3</x:f>
        <x:v>18</x:v>
      </x:c>
      <x:c r="D21" s="3" t="str">
        <x:v>ft</x:v>
      </x:c>
      <x:c r="E21" s="3" t="str">
        <x:v>Calculated [U]</x:v>
      </x:c>
    </x:row>
    <x:row r="22" ht="45" customHeight="1">
      <x:c r="A22" s="3" t="str">
        <x:v>Nominal power per projector</x:v>
      </x:c>
      <x:c r="B22" s="13" t="n">
        <x:v>277</x:v>
      </x:c>
      <x:c r="C22" s="13" t="n">
        <x:v>277</x:v>
      </x:c>
      <x:c r="D22" s="3" t="str">
        <x:v>W</x:v>
      </x:c>
      <x:c r="E22" s="3" t="str">
        <x:v>[V] Epson specification</x:v>
      </x:c>
    </x:row>
    <x:row r="23" ht="28" customHeight="1">
      <x:c r="A23" s="3"/>
      <x:c r="B23" s="3"/>
      <x:c r="C23" s="3"/>
      <x:c r="D23" s="3"/>
      <x:c r="E23" s="3"/>
    </x:row>
    <x:row r="24" ht="70" customHeight="1">
      <x:c r="A24" s="3" t="str">
        <x:v>Mounting caveat</x:v>
      </x:c>
      <x:c r="B24" s="3" t="str">
        <x:v>[U] physical fit</x:v>
      </x:c>
      <x:c r="C24" s="3" t="str">
        <x:v>Not established</x:v>
      </x:c>
      <x:c r="D24" s="3" t="str">
        <x:v>N/A</x:v>
      </x:c>
      <x:c r="E24" s="3" t="str">
        <x:v>UST image offset determines mounting height. Check floor / ceiling clearance, bracket position and beam paths in the actual layout.</x:v>
      </x:c>
    </x:row>
    <x:row r="25" ht="70" customHeight="1">
      <x:c r="A25" s="3" t="str">
        <x:v>Rear bay</x:v>
      </x:c>
      <x:c r="B25" s="3" t="str">
        <x:v>[U] allowance</x:v>
      </x:c>
      <x:c r="C25" s="3" t="str">
        <x:v>3-3.5 ft target</x:v>
      </x:c>
      <x:c r="D25" s="3" t="str">
        <x:v>N/A</x:v>
      </x:c>
      <x:c r="E25" s="3" t="str">
        <x:v>Provisional design space, not a verified minimum. Include chassis, cooling, mounting and service access.</x:v>
      </x:c>
    </x:row>
    <x:row r="26" ht="70" customHeight="1">
      <x:c r="A26" s="3" t="str">
        <x:v>Screen structure</x:v>
      </x:c>
      <x:c r="B26" s="3" t="str">
        <x:v>[U] requirement</x:v>
      </x:c>
      <x:c r="C26" s="3" t="str">
        <x:v>Perimeter support</x:v>
      </x:c>
      <x:c r="D26" s="3" t="str">
        <x:v>N/A</x:v>
      </x:c>
      <x:c r="E26" s="3" t="str">
        <x:v>Keep intermediate framing out of image and beam paths. Branding belongs on the outer opaque bay, not on the translucent screen back.</x:v>
      </x:c>
    </x:row>
    <x:row r="27" ht="70" customHeight="1">
      <x:c r="A27" s="3" t="str">
        <x:v>Projection test</x:v>
      </x:c>
      <x:c r="B27" s="3" t="str">
        <x:v>[U] required</x:v>
      </x:c>
      <x:c r="C27" s="3" t="str">
        <x:v>One 8 x 4.5 ft image</x:v>
      </x:c>
      <x:c r="D27" s="3" t="str">
        <x:v>N/A</x:v>
      </x:c>
      <x:c r="E27" s="3" t="str">
        <x:v>Check focus, fabric flatness, hotspots and walking viewing angles. Test a second adjacent unit for blending.</x:v>
      </x:c>
    </x:row>
    <x:row r="28" ht="28" customHeight="1">
      <x:c r="A28" s="3"/>
      <x:c r="B28" s="3"/>
      <x:c r="C28" s="3"/>
      <x:c r="D28" s="3"/>
      <x:c r="E28" s="3"/>
    </x:row>
    <x:row r="29" ht="28" customHeight="1">
      <x:c r="A29" s="3"/>
      <x:c r="B29" s="3"/>
      <x:c r="C29" s="3"/>
      <x:c r="D29" s="3"/>
      <x:c r="E29" s="3"/>
    </x:row>
    <x:row r="30" ht="28" customHeight="1">
      <x:c r="A30" s="3"/>
      <x:c r="B30" s="3"/>
      <x:c r="C30" s="3"/>
      <x:c r="D30" s="3"/>
      <x:c r="E3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93" hidden="0" customWidth="1"/>
    <x:col min="3" max="3" width="92" hidden="0" customWidth="1"/>
  </x:cols>
  <x:sheetData>
    <x:row r="1" ht="28" customHeight="1">
      <x:c r="A1" s="3" t="str">
        <x:v>Sources and verification</x:v>
      </x:c>
      <x:c r="B1" s="3"/>
      <x:c r="C1" s="3"/>
    </x:row>
    <x:row r="2" ht="28" customHeight="1">
      <x:c r="A2" s="3"/>
      <x:c r="B2" s="3"/>
      <x:c r="C2" s="3"/>
    </x:row>
    <x:row r="3" ht="35" customHeight="1">
      <x:c r="A3" s="5" t="str">
        <x:v>Source / status</x:v>
      </x:c>
      <x:c r="B3" s="5" t="str">
        <x:v>What was established / uncertainty</x:v>
      </x:c>
      <x:c r="C3" s="5" t="str">
        <x:v>URL</x:v>
      </x:c>
    </x:row>
    <x:row r="4" ht="74" customHeight="1">
      <x:c r="A4" s="3" t="str">
        <x:v>User dimensions</x:v>
      </x:c>
      <x:c r="B4" s="3" t="str">
        <x:v>User tunnel dimensions: 15 x 5 x 8 ft. User correction: landscape projection; full 8 ft image height unnecessary. Rear space less than 4 ft / undecided.</x:v>
      </x:c>
      <x:c r="C4" s="3" t="str">
        <x:v>Conversation, Sep 18 2026</x:v>
      </x:c>
    </x:row>
    <x:row r="5" ht="74" customHeight="1">
      <x:c r="A5" s="3" t="str">
        <x:v>Epson Canada [V]</x:v>
      </x:c>
      <x:c r="B5" s="3" t="str">
        <x:v>CAD $2,854 advertised price verified Sep 18 2026. Landscape installation and edge blending documented. Stock not confirmed.</x:v>
      </x:c>
      <x:c r="C5" s="3" t="str">
        <x:v>https://epson.ca/For-Work/Projectors/Classroom/PowerLite-770F-1080p-3LCD-Ultra-Short-Throw-Lamp-Free-Laser-Display/p/V11HA79020</x:v>
      </x:c>
    </x:row>
    <x:row r="6" ht="74" customHeight="1">
      <x:c r="A6" s="3" t="str">
        <x:v>Epson specification [V]</x:v>
      </x:c>
      <x:c r="B6" s="3" t="str">
        <x:v>1080p 16:9, 4,100 lumens, nominal 0.25 wide throw, up to 150-inch image, 277 W normal mode.</x:v>
      </x:c>
      <x:c r="C6" s="3" t="str">
        <x:v>https://mediaserver.goepson.com/ImConvServlet/imconv/9ff3287e1fb434854fa65dc446b72355d11b70cb/original?assetDescr=PowerLite_770F_Laser_Display_Projector_Specification_Sheet_CPD-62993R4.pdf</x:v>
      </x:c>
    </x:row>
    <x:row r="7" ht="74" customHeight="1">
      <x:c r="A7" s="3" t="str">
        <x:v>Epson installation guide [V]</x:v>
      </x:c>
      <x:c r="B7" s="3" t="str">
        <x:v>Use model-specific landscape placement dimensions. Final bracket positions, mounting height and rear-bay envelope remain [U].</x:v>
      </x:c>
      <x:c r="C7" s="3" t="str">
        <x:v>https://download3.ebz.epson.net/dsc/f/03/00/16/89/14/2c2c616791564bff244179d8128cf71dbf17e7c2/InstallGuide_EB775F_EN_Rev02.pdf</x:v>
      </x:c>
    </x:row>
    <x:row r="8" ht="74" customHeight="1">
      <x:c r="A8" s="3" t="str">
        <x:v>Epson rear placement [V]</x:v>
      </x:c>
      <x:c r="B8" s="3" t="str">
        <x:v>Rear / rear-upside-down mode documented. Mirror in projector or playback, not both.</x:v>
      </x:c>
      <x:c r="C8" s="3" t="str">
        <x:v>https://epson.ca/faq/SPT_V11HA79020~faq-0000496-pleb760w_775f?faq_cat=faq-8796158601292</x:v>
      </x:c>
    </x:row>
    <x:row r="9" ht="74" customHeight="1">
      <x:c r="A9" s="3" t="str">
        <x:v>SoftScreen [V]</x:v>
      </x:c>
      <x:c r="B9" s="3" t="str">
        <x:v>122-inch white diffuse fabric; published rear gain 0.38. IFR / NFPA 701 stated by vendor. Venue acceptance and UST suitability remain [U].</x:v>
      </x:c>
      <x:c r="C9" s="3" t="str">
        <x:v>https://www.rosebrand.com/softscreen-122-in-ifr-white</x:v>
      </x:c>
    </x:row>
    <x:row r="10" ht="74" customHeight="1">
      <x:c r="A10" s="3" t="str">
        <x:v>Rose Brand advice [V]</x:v>
      </x:c>
      <x:c r="B10" s="3" t="str">
        <x:v>Rear projection through fabric depends on size and brightness. Vendor recommends testing. No UST performance guarantee found.</x:v>
      </x:c>
      <x:c r="C10" s="3" t="str">
        <x:v>https://www.rosebrand.com/products/custom-projection-screens/projection-fabrics</x:v>
      </x:c>
    </x:row>
    <x:row r="11" ht="74" customHeight="1">
      <x:c r="A11" s="3" t="str">
        <x:v>Rosco alternative [V]</x:v>
      </x:c>
      <x:c r="B11" s="3" t="str">
        <x:v>Twin White PVC is a front/rear projection surface. Consider as an alternative test sample; not priced here.</x:v>
      </x:c>
      <x:c r="C11" s="3" t="str">
        <x:v>https://us.rosco.com/en/node/492</x:v>
      </x:c>
    </x:row>
    <x:row r="12" ht="74" customHeight="1">
      <x:c r="A12" s="3" t="str">
        <x:v>Budget allowances [U]</x:v>
      </x:c>
      <x:c r="B12" s="3" t="str">
        <x:v>All non-projector CAD costs are planning estimates. Obtain quotes. No foreign-price conversion or guaranteed lead times.</x:v>
      </x:c>
      <x:c r="C12" s="3" t="str">
        <x:v>N/A</x:v>
      </x:c>
    </x:row>
    <x:row r="13" ht="74" customHeight="1">
      <x:c r="A13" s="3" t="str">
        <x:v>Evidence limit [U]</x:v>
      </x:c>
      <x:c r="B13" s="3" t="str">
        <x:v>No hardware bench test, light measurement, fabric test or installation drawing approval. Geometry is calculated, not proven on site.</x:v>
      </x:c>
      <x:c r="C13" s="3" t="str">
        <x:v>N/A</x:v>
      </x:c>
    </x:row>
    <x:row r="14" ht="28" customHeight="1">
      <x:c r="A14" s="3"/>
      <x:c r="B14" s="3"/>
      <x:c r="C14" s="3"/>
    </x:row>
    <x:row r="15" ht="28" customHeight="1">
      <x:c r="A15" s="10" t="str">
        <x:v>NEEDS YOU</x:v>
      </x:c>
      <x:c r="B15" s="10" t="str">
        <x:v>Next action</x:v>
      </x:c>
      <x:c r="C15" s="10"/>
    </x:row>
    <x:row r="16" ht="74" customHeight="1">
      <x:c r="A16" s="3" t="str">
        <x:v>1</x:v>
      </x:c>
      <x:c r="B16" s="3" t="str">
        <x:v>Test one UST projector in landscape with an 8 x 4.5 ft image through candidate fabric before fixing the rear bay.</x:v>
      </x:c>
      <x:c r="C16" s="3"/>
    </x:row>
    <x:row r="17" ht="28" customHeight="1">
      <x:c r="A17" s="3"/>
      <x:c r="B17" s="3"/>
      <x:c r="C17" s="3"/>
    </x:row>
    <x:row r="18" ht="28" customHeight="1">
      <x:c r="A18" s="3"/>
      <x:c r="B18" s="3"/>
      <x:c r="C18" s="3"/>
    </x:row>
    <x:row r="19" ht="28" customHeight="1">
      <x:c r="A19" s="3"/>
      <x:c r="B19" s="3"/>
      <x:c r="C19" s="3"/>
    </x:row>
    <x:row r="20" ht="28" customHeight="1">
      <x:c r="A20" s="3"/>
      <x:c r="B20" s="3"/>
      <x:c r="C20" s="3"/>
    </x:row>
  </x:sheetData>
  <x:pageMargins left="0.7" right="0.7" top="0.75" bottom="0.75" header="0.3" footer="0.3"/>
</x:worksheet>
</file>