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603136290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tors - Low" sheetId="1" r:id="R08f22de8eb174c26"/>
    <x:sheet xmlns:r="http://schemas.openxmlformats.org/officeDocument/2006/relationships" name="Raptors - High" sheetId="2" r:id="Re7f4295837004d70"/>
  </x:sheets>
</x:workbook>
</file>

<file path=xl/sharedStrings.xml><?xml version="1.0" encoding="utf-8"?>
<x:sst xmlns:x="http://schemas.openxmlformats.org/spreadsheetml/2006/main">
  <x:si>
    <x:t xml:space="preserve">Project Materials</x:t>
  </x:si>
  <x:si>
    <x:t xml:space="preserve">Qty</x:t>
  </x:si>
  <x:si>
    <x:t xml:space="preserve">Description</x:t>
  </x:si>
  <x:si>
    <x:t xml:space="preserve">Unit Price</x:t>
  </x:si>
  <x:si>
    <x:t xml:space="preserve">Extended</x:t>
  </x:si>
  <x:si>
    <x:t xml:space="preserve">Ordered</x:t>
  </x:si>
  <x:si>
    <x:t xml:space="preserve">Notes</x:t>
  </x:si>
  <x:si>
    <x:t xml:space="preserve">Links</x:t>
  </x:si>
  <x:si>
    <x:t xml:space="preserve">Project Materials Subtotal</x:t>
  </x:si>
  <x:si>
    <x:t xml:space="preserve">Round to</x:t>
  </x:si>
  <x:si>
    <x:t xml:space="preserve">Procurement and design</x:t>
  </x:si>
  <x:si>
    <x:t xml:space="preserve">Research and Development</x:t>
  </x:si>
  <x:si>
    <x:t xml:space="preserve">Programming</x:t>
  </x:si>
  <x:si>
    <x:t xml:space="preserve">Integration</x:t>
  </x:si>
  <x:si>
    <x:t xml:space="preserve">Testing</x:t>
  </x:si>
  <x:si>
    <x:t xml:space="preserve">Heavy-use hardening</x:t>
  </x:si>
  <x:si>
    <x:t xml:space="preserve">Documentation</x:t>
  </x:si>
  <x:si>
    <x:t xml:space="preserve">Buffer</x:t>
  </x:si>
  <x:si>
    <x:t xml:space="preserve">Install and commissioning</x:t>
  </x:si>
  <x:si>
    <x:t xml:space="preserve">Assumptions</x:t>
  </x:si>
</x:sst>
</file>

<file path=xl/styles.xml><?xml version="1.0" encoding="utf-8"?>
<x:styleSheet xmlns:x="http://schemas.openxmlformats.org/spreadsheetml/2006/main">
  <x:numFmts count="11">
    <x:numFmt numFmtId="164" formatCode="_(\$* #,##0.00_);_(\$* \(#,##0.00\);_(\$* \-??_);_(@_)"/>
    <x:numFmt numFmtId="165" formatCode="_([$$-409]* #,##0.00_);_([$$-409]* \(#,##0.00\);_([$$-409]* \-??_);_(@_)"/>
    <x:numFmt numFmtId="200" formatCode="0.0&quot; ft [U]&quot;"/>
    <x:numFmt numFmtId="201" formatCode="0%"/>
    <x:numFmt numFmtId="202" formatCode="&quot;CAD $&quot;#,##0"/>
    <x:numFmt numFmtId="203" formatCode="&quot;CAD $&quot;0&quot;/h&quot;"/>
    <x:numFmt numFmtId="204" formatCode="0&quot; h&quot;"/>
    <x:numFmt numFmtId="205" formatCode="0&quot; h [U]&quot;"/>
    <x:numFmt numFmtId="206" formatCode="0&quot; weeks&quot;"/>
    <x:numFmt numFmtId="207" formatCode="0.0&quot;x&quot;"/>
    <x:numFmt numFmtId="208" formatCode="0&quot; h/week&quot;"/>
  </x:numFmts>
  <x:fonts count="6">
    <x:font>
      <x:sz val="12"/>
      <x:color theme="1"/>
      <x:name val="Calibri"/>
    </x:font>
    <x:font>
      <x:b/>
      <x:sz val="16"/>
      <x:color theme="1"/>
      <x:name val="Calibri"/>
    </x:font>
    <x:font>
      <x:b/>
      <x:sz val="12"/>
      <x:color theme="1"/>
      <x:name val="Calibri"/>
    </x:font>
    <x:font>
      <x:sz val="12"/>
      <x:color theme="10"/>
      <x:name val="Calibri"/>
    </x:font>
    <x:font>
      <x:sz val="12"/>
      <x:color theme="1"/>
      <x:name val="Calibri"/>
    </x:font>
    <x:font>
      <x:sz val="11"/>
      <x:color theme="1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8" tint="0.59978"/>
      </x:patternFill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auto="1"/>
      </x:bottom>
    </x:border>
  </x:borders>
  <x:cellStyleXfs count="3">
    <x:xf numFmtId="0" fontId="0" fillId="0" borderId="0"/>
    <x:xf numFmtId="164" fontId="4" fillId="0" borderId="0"/>
    <x:xf numFmtId="0" fontId="3" fillId="0" borderId="0"/>
  </x:cellStyleXfs>
  <x:cellXfs count="59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2" fillId="0" borderId="1" xfId="0" applyFont="1" applyBorder="1"/>
    <x:xf numFmtId="0" fontId="0" fillId="0" borderId="0" xfId="0" applyAlignment="1">
      <x:alignment horizontal="center"/>
    </x:xf>
    <x:xf numFmtId="164" fontId="4" fillId="0" borderId="0" xfId="1"/>
    <x:xf numFmtId="165" fontId="4" fillId="0" borderId="0" xfId="1" applyNumberFormat="1"/>
    <x:xf numFmtId="0" fontId="3" fillId="0" borderId="0" xfId="2"/>
    <x:xf numFmtId="164" fontId="2" fillId="0" borderId="0" xfId="1" applyFont="1" applyAlignment="1">
      <x:alignment horizontal="right"/>
    </x:xf>
    <x:xf numFmtId="164" fontId="2" fillId="0" borderId="0" xfId="1" applyFont="1"/>
    <x:xf numFmtId="0" fontId="2" fillId="0" borderId="0" xfId="0" applyFont="1" applyAlignment="1">
      <x:alignment horizontal="center"/>
    </x:xf>
    <x:xf numFmtId="0" fontId="2" fillId="3" borderId="0" xfId="0" applyFont="1" applyFill="1" applyAlignment="1">
      <x:alignment horizontal="right"/>
    </x:xf>
    <x:xf numFmtId="164" fontId="2" fillId="3" borderId="0" xfId="0" applyNumberFormat="1" applyFont="1" applyFill="1"/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2" fillId="0" borderId="0" xfId="0" applyNumberFormat="1" applyFont="1" applyFill="1" applyBorder="1" applyAlignment="1">
      <x:alignment horizontal="right"/>
    </x:xf>
    <x:xf numFmtId="202" fontId="2" fillId="0" borderId="0" xfId="0" applyNumberFormat="1" applyFont="1" applyFill="1" applyBorder="1"/>
    <x:xf numFmtId="202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2" fillId="5" borderId="0" xfId="0" applyNumberFormat="1" applyFont="1" applyFill="1" applyBorder="1"/>
    <x:xf numFmtId="202" fontId="2" fillId="5" borderId="0" xfId="0" applyNumberFormat="1" applyFont="1" applyFill="1" applyBorder="1"/>
    <x:xf numFmtId="201" fontId="0" fillId="6" borderId="0" xfId="0" applyNumberFormat="1" applyFont="1" applyFill="1" applyBorder="1"/>
    <x:xf numFmtId="203" fontId="0" fillId="0" borderId="0" xfId="0" applyNumberFormat="1" applyFont="1" applyFill="1" applyBorder="1"/>
    <x:xf numFmtId="203" fontId="0" fillId="6" borderId="0" xfId="0" applyNumberFormat="1" applyFont="1" applyFill="1" applyBorder="1"/>
    <x:xf numFmtId="204" fontId="0" fillId="0" borderId="0" xfId="0" applyNumberFormat="1" applyFont="1" applyFill="1" applyBorder="1"/>
    <x:xf numFmtId="204" fontId="0" fillId="6" borderId="0" xfId="0" applyNumberFormat="1" applyFont="1" applyFill="1" applyBorder="1"/>
    <x:xf numFmtId="204" fontId="0" fillId="0" borderId="0" xfId="0" applyNumberFormat="1" applyFont="1" applyFill="1" applyBorder="1" applyAlignment="1">
      <x:alignment horizontal="center"/>
    </x:xf>
    <x:xf numFmtId="204" fontId="2" fillId="0" borderId="0" xfId="0" applyNumberFormat="1" applyFont="1" applyFill="1" applyBorder="1" applyAlignment="1">
      <x:alignment horizontal="center"/>
    </x:xf>
    <x:xf numFmtId="204" fontId="2" fillId="0" borderId="0" xfId="0" applyNumberFormat="1" applyFont="1" applyFill="1" applyBorder="1"/>
    <x:xf numFmtId="204" fontId="2" fillId="0" borderId="1" xfId="0" applyNumberFormat="1" applyFont="1" applyFill="1" applyBorder="1"/>
    <x:xf numFmtId="202" fontId="2" fillId="0" borderId="1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7" fontId="0" fillId="6" borderId="0" xfId="0" applyNumberFormat="1" applyFont="1" applyFill="1" applyBorder="1"/>
    <x:xf numFmtId="208" fontId="0" fillId="6" borderId="0" xfId="0" applyNumberFormat="1" applyFont="1" applyFill="1" applyBorder="1"/>
    <x:xf numFmtId="201" fontId="0" fillId="7" borderId="0" xfId="0" applyNumberFormat="1" applyFont="1" applyFill="1" applyBorder="1"/>
    <x:xf numFmtId="203" fontId="0" fillId="4" borderId="0" xfId="0" applyNumberFormat="1" applyFont="1" applyFill="1" applyBorder="1"/>
    <x:xf numFmtId="203" fontId="0" fillId="7" borderId="0" xfId="0" applyNumberFormat="1" applyFont="1" applyFill="1" applyBorder="1"/>
    <x:xf numFmtId="204" fontId="0" fillId="4" borderId="0" xfId="0" applyNumberFormat="1" applyFont="1" applyFill="1" applyBorder="1"/>
    <x:xf numFmtId="204" fontId="0" fillId="7" borderId="0" xfId="0" applyNumberFormat="1" applyFont="1" applyFill="1" applyBorder="1"/>
    <x:xf numFmtId="207" fontId="0" fillId="4" borderId="0" xfId="0" applyNumberFormat="1" applyFont="1" applyFill="1" applyBorder="1"/>
    <x:xf numFmtId="208" fontId="0" fillId="4" borderId="0" xfId="0" applyNumberFormat="1" applyFont="1" applyFill="1" applyBorder="1"/>
    <x:xf numFmtId="207" fontId="0" fillId="7" borderId="0" xfId="0" applyNumberFormat="1" applyFont="1" applyFill="1" applyBorder="1"/>
    <x:xf numFmtId="208" fontId="0" fillId="7" borderId="0" xfId="0" applyNumberFormat="1" applyFont="1" applyFill="1" applyBorder="1"/>
  </x:cellXfs>
  <x:cellStyles count="3">
    <x:cellStyle name="Currency" xfId="1"/>
    <x:cellStyle name="Hyperlink" xfId="2"/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D9D9D9"/>
      <x:rgbColor rgb="FF808080"/>
      <x:rgbColor rgb="FF9999FF"/>
      <x:rgbColor rgb="FF993366"/>
      <x:rgbColor rgb="FFFFFFCC"/>
      <x:rgbColor rgb="FFCCFFFF"/>
      <x:rgbColor rgb="FF660066"/>
      <x:rgbColor rgb="FFFF8080"/>
      <x:rgbColor rgb="FF0563C1"/>
      <x:rgbColor rgb="FFBDD7E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dcc31df6749c6" /><Relationship Type="http://schemas.openxmlformats.org/officeDocument/2006/relationships/theme" Target="/xl/theme/theme1.xml" Id="Rd268b0630fb94145" /><Relationship Type="http://schemas.openxmlformats.org/officeDocument/2006/relationships/sharedStrings" Target="/xl/sharedStrings.xml" Id="R5aae2d67489e4028" /><Relationship Type="http://schemas.openxmlformats.org/officeDocument/2006/relationships/worksheet" Target="/xl/worksheets/sheet1.xml" Id="R08f22de8eb174c26" /><Relationship Type="http://schemas.openxmlformats.org/officeDocument/2006/relationships/worksheet" Target="/xl/worksheets/sheet2.xml" Id="Re7f4295837004d7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25" defaultRowHeight="15.600000381469727"/>
  <x:cols>
    <x:col min="2" max="2" width="58.5" customWidth="1"/>
    <x:col min="3" max="3" width="22.375" customWidth="1"/>
    <x:col min="4" max="4" width="22.5" customWidth="1"/>
    <x:col min="6" max="6" width="70.625" customWidth="1"/>
    <x:col min="7" max="7" width="54.125" customWidth="1"/>
    <x:col min="8" max="8" width="16" customWidth="1"/>
    <x:col min="9" max="9" width="20" customWidth="1"/>
  </x:cols>
  <x:sheetData>
    <x:row r="1" ht="26" customHeight="1">
      <x:c r="A1" s="1" t="str">
        <x:v>Ctech Estimate - ROM Raptors Tunnel (Landscape, Low)</x:v>
      </x:c>
    </x:row>
    <x:row r="2">
      <x:c r="A2" t="str">
        <x:v>Prepared Sep 18 2026 | CAD $ excl. HST | one projection wall | rate CAD $220/h | hours and non-projector costs are [U] estimates</x:v>
      </x:c>
    </x:row>
    <x:row r="3">
      <x:c r="A3" s="2" t="s">
        <x:v>0</x:v>
      </x:c>
    </x:row>
    <x:row r="4" ht="38" customHeight="1">
      <x:c r="A4" s="3" t="s">
        <x:v>1</x:v>
      </x:c>
      <x:c r="B4" s="3" t="s">
        <x:v>2</x:v>
      </x:c>
      <x:c r="C4" s="3" t="s">
        <x:v>3</x:v>
      </x:c>
      <x:c r="D4" s="3" t="s">
        <x:v>4</x:v>
      </x:c>
      <x:c r="E4" t="s">
        <x:v>5</x:v>
      </x:c>
      <x:c r="F4" s="3" t="s">
        <x:v>6</x:v>
      </x:c>
      <x:c r="G4" s="3" t="s">
        <x:v>7</x:v>
      </x:c>
      <x:c r="H4" s="13" t="str">
        <x:v>Qty - shared / projector 1</x:v>
      </x:c>
      <x:c r="I4" s="13" t="str">
        <x:v>Qty - projector 2</x:v>
      </x:c>
    </x:row>
    <x:row r="5" ht="66" customHeight="1">
      <x:c r="A5" s="4" t="n">
        <x:v>2</x:v>
      </x:c>
      <x:c r="B5" s="19" t="str">
        <x:v>Epson PowerLite 770F UST laser projector - landscape</x:v>
      </x:c>
      <x:c r="C5" s="21" t="n">
        <x:v>2854</x:v>
      </x:c>
      <x:c r="D5" s="21" t="n">
        <x:f t="shared" ref="D5:D11" si="0">C5*A5</x:f>
        <x:v>5708</x:v>
      </x:c>
      <x:c r="E5" t="n">
        <x:v>0</x:v>
      </x:c>
      <x:c r="F5" s="19" t="str">
        <x:v>[V] CAD unit price read Sep 18 2026 from Epson Canada. [U] selection / quantity; stock and rear-fabric test not confirmed.</x:v>
      </x:c>
      <x:c r="G5" s="20" t="str">
        <x:v>https://epson.ca/For-Work/Projectors/Classroom/PowerLite-770F-1080p-3LCD-Ultra-Short-Throw-Lamp-Free-Laser-Display/p/V11HA79020</x:v>
      </x:c>
      <x:c r="H5" s="4" t="n">
        <x:v>1</x:v>
      </x:c>
      <x:c r="I5" s="4" t="n">
        <x:v>1</x:v>
      </x:c>
    </x:row>
    <x:row r="6" ht="66" customHeight="1">
      <x:c r="A6" s="4" t="n">
        <x:v>1</x:v>
      </x:c>
      <x:c r="B6" s="19" t="str">
        <x:v>Playback PC + visitor tracking kit [U]</x:v>
      </x:c>
      <x:c r="C6" s="21" t="n">
        <x:v>3100</x:v>
      </x:c>
      <x:c r="D6" s="21" t="n">
        <x:f t="shared" si="0">C6*A6</x:f>
        <x:v>3100</x:v>
      </x:c>
      <x:c r="E6" t="n">
        <x:v>0</x:v>
      </x:c>
      <x:c r="F6" s="19" t="str">
        <x:v>PC CAD $1,500-2,500 plus two depth cameras, USB / power, mounts and shipping CAD $1,600-2,400 [U] budget allowance. Candidate: Orbbec Femto Bolt. Coverage / compatibility requires prototype.</x:v>
      </x:c>
      <x:c r="G6" s="20" t="str">
        <x:v>https://www.orbbec.com/products/tof-camera/femto-bolt/</x:v>
      </x:c>
      <x:c r="H6" s="4" t="n">
        <x:v>1</x:v>
      </x:c>
      <x:c r="I6" s="4" t="n">
        <x:v>0</x:v>
      </x:c>
    </x:row>
    <x:row r="7" ht="66" customHeight="1">
      <x:c r="A7" s="4" t="n">
        <x:v>1</x:v>
      </x:c>
      <x:c r="B7" s="19" t="str">
        <x:v>Finished white rear-projection fabric panel</x:v>
      </x:c>
      <x:c r="C7" s="21" t="n">
        <x:v>700</x:v>
      </x:c>
      <x:c r="D7" s="21" t="n">
        <x:f t="shared" si="0">C7*A7</x:f>
        <x:v>700</x:v>
      </x:c>
      <x:c r="E7" t="n">
        <x:v>0</x:v>
      </x:c>
      <x:c r="F7" s="19" t="str">
        <x:v>[U] allowance; retains 15 x 8 ft wall panel. Image band is 15 x 4.5 ft. Sample-test UST performance.</x:v>
      </x:c>
      <x:c r="G7" s="19" t="str">
        <x:v>https://www.rosebrand.com/softscreen-122-in-ifr-white [US]</x:v>
      </x:c>
      <x:c r="H7" s="4" t="n">
        <x:v>1</x:v>
      </x:c>
      <x:c r="I7" s="4" t="n">
        <x:v>0</x:v>
      </x:c>
    </x:row>
    <x:row r="8" ht="66" customHeight="1">
      <x:c r="A8" s="4" t="n">
        <x:v>1</x:v>
      </x:c>
      <x:c r="B8" s="19" t="str">
        <x:v>Two landscape mounts and perimeter screen tensioning</x:v>
      </x:c>
      <x:c r="C8" s="21" t="n">
        <x:v>800</x:v>
      </x:c>
      <x:c r="D8" s="21" t="n">
        <x:f t="shared" si="0">C8*A8</x:f>
        <x:v>800</x:v>
      </x:c>
      <x:c r="E8" t="n">
        <x:v>0</x:v>
      </x:c>
      <x:c r="F8" s="19" t="str">
        <x:v>[U] allowance: mounts 500-1,000 plus tensioning 300-800. Main tunnel structure excluded.</x:v>
      </x:c>
      <x:c r="G8" s="19" t="str">
        <x:v>N/A</x:v>
      </x:c>
      <x:c r="H8" s="4" t="n">
        <x:v>1</x:v>
      </x:c>
      <x:c r="I8" s="4" t="n">
        <x:v>0</x:v>
      </x:c>
    </x:row>
    <x:row r="9" ht="66" customHeight="1">
      <x:c r="A9" s="4" t="n">
        <x:v>1</x:v>
      </x:c>
      <x:c r="B9" s="19" t="str">
        <x:v>Two video feeds, adapters, power and network cables</x:v>
      </x:c>
      <x:c r="C9" s="21" t="n">
        <x:v>450</x:v>
      </x:c>
      <x:c r="D9" s="21" t="n">
        <x:f t="shared" si="0">C9*A9</x:f>
        <x:v>450</x:v>
      </x:c>
      <x:c r="E9" t="n">
        <x:v>0</x:v>
      </x:c>
      <x:c r="F9" s="19" t="str">
        <x:v>[U] allowance: video 200-400 plus power / control 250-600. Do not use a mirroring splitter.</x:v>
      </x:c>
      <x:c r="G9" s="19" t="str">
        <x:v>N/A</x:v>
      </x:c>
      <x:c r="H9" s="4" t="n">
        <x:v>1</x:v>
      </x:c>
      <x:c r="I9" s="4" t="n">
        <x:v>0</x:v>
      </x:c>
    </x:row>
    <x:row r="10" ht="66" customHeight="1">
      <x:c r="A10" s="4" t="n">
        <x:v>1</x:v>
      </x:c>
      <x:c r="B10" s="19" t="str">
        <x:v>Rear bay + shipping + software / asset [U]</x:v>
      </x:c>
      <x:c r="C10" s="21" t="n">
        <x:v>1500</x:v>
      </x:c>
      <x:c r="D10" s="21" t="n">
        <x:f t="shared" si="0">C10*A10</x:f>
        <x:v>1500</x:v>
      </x:c>
      <x:c r="E10" t="n">
        <x:v>0</x:v>
      </x:c>
      <x:c r="F10" s="19" t="str">
        <x:v>Rear-bay blackout / shipping CAD $700-1,800 plus commercial playback software / licensed animated raptor CAD $800-1,400 [U] budget. Actual licence and asset quotes not obtained.</x:v>
      </x:c>
      <x:c r="G10" s="19" t="str">
        <x:v>https://derivative.ca/UserGuide/Movie_File_In_TOP</x:v>
      </x:c>
      <x:c r="H10" s="4" t="n">
        <x:v>1</x:v>
      </x:c>
      <x:c r="I10" s="4" t="n">
        <x:v>0</x:v>
      </x:c>
    </x:row>
    <x:row r="11" ht="66" customHeight="1">
      <x:c r="A11" s="4">
        <x:v>1</x:v>
      </x:c>
      <x:c r="B11" s="19" t="str">
        <x:v>Materials contingency</x:v>
      </x:c>
      <x:c r="C11" s="21" t="n">
        <x:f>$A$60*SUM(D5:D10)</x:f>
        <x:v>3064.5</x:v>
      </x:c>
      <x:c r="D11" s="21" t="n">
        <x:f t="shared" si="0">C11*A11</x:f>
        <x:v>3064.5</x:v>
      </x:c>
      <x:c r="E11" t="n">
        <x:v>0</x:v>
      </x:c>
      <x:c r="F11" s="19" t="str">
        <x:v>[U] 25% contingency for a design still being tested. Edit percentage in A60.</x:v>
      </x:c>
      <x:c r="G11" s="19" t="str">
        <x:v>N/A</x:v>
      </x:c>
      <x:c r="H11" s="4" t="n">
        <x:v>1</x:v>
      </x:c>
      <x:c r="I11" s="4" t="n">
        <x:v>0</x:v>
      </x:c>
    </x:row>
    <x:row r="12">
      <x:c r="C12" s="22" t="s">
        <x:v>8</x:v>
      </x:c>
      <x:c r="D12" s="23" t="n">
        <x:f>SUM(D5:D11)</x:f>
        <x:v>15322.5</x:v>
      </x:c>
    </x:row>
    <x:row r="13">
      <x:c r="C13" s="22" t="s">
        <x:v>9</x:v>
      </x:c>
      <x:c r="D13" s="23" t="n">
        <x:f>ROUNDUP(D12,-2)</x:f>
        <x:v>15400</x:v>
      </x:c>
    </x:row>
    <x:row r="16">
      <x:c r="A16" s="2" t="str">
        <x:v>Project Hours - Shared design, development and testing</x:v>
      </x:c>
    </x:row>
    <x:row r="17">
      <x:c r="A17" s="3" t="s">
        <x:v>1</x:v>
      </x:c>
      <x:c r="B17" s="3" t="s">
        <x:v>2</x:v>
      </x:c>
      <x:c r="C17" s="3" t="s">
        <x:v>3</x:v>
      </x:c>
      <x:c r="D17" s="3" t="s">
        <x:v>4</x:v>
      </x:c>
      <x:c r="F17" s="3" t="str">
        <x:v>Notes / estimate basis [U]</x:v>
      </x:c>
    </x:row>
    <x:row r="18" ht="62" customHeight="1">
      <x:c r="A18" s="39" t="n">
        <x:v>12</x:v>
      </x:c>
      <x:c r="B18" s="2" t="s">
        <x:v>10</x:v>
      </x:c>
      <x:c r="C18" s="21" t="n">
        <x:f>$C$57</x:f>
        <x:v>220</x:v>
      </x:c>
      <x:c r="D18" s="21" t="n">
        <x:f t="shared" ref="D18:D27" si="1">A18*C18</x:f>
        <x:v>2640</x:v>
      </x:c>
      <x:c r="F18" s="19" t="str">
        <x:v>Design 6-12 h + procurement 6-12 h: projection layout, two overhead depth cameras, position-to-frame mapping and sourcing.</x:v>
      </x:c>
    </x:row>
    <x:row r="19" ht="62" customHeight="1">
      <x:c r="A19" s="39" t="n">
        <x:v>12</x:v>
      </x:c>
      <x:c r="B19" s="2" t="s">
        <x:v>11</x:v>
      </x:c>
      <x:c r="C19" s="21" t="n">
        <x:f>$C$57</x:f>
        <x:v>220</x:v>
      </x:c>
      <x:c r="D19" s="21" t="n">
        <x:f t="shared" si="1">A19*C19</x:f>
        <x:v>2640</x:v>
      </x:c>
      <x:c r="F19" s="19" t="str">
        <x:v>Prototype 12-24 h: fabric / UST test plus camera coverage, camera handoff, visitor position and bidirectional video scrubbing.</x:v>
      </x:c>
    </x:row>
    <x:row r="20" ht="62" customHeight="1">
      <x:c r="A20" s="39" t="n">
        <x:v>28</x:v>
      </x:c>
      <x:c r="B20" s="2" t="s">
        <x:v>12</x:v>
      </x:c>
      <x:c r="C20" s="21" t="n">
        <x:f>$C$57</x:f>
        <x:v>220</x:v>
      </x:c>
      <x:c r="D20" s="21" t="n">
        <x:f t="shared" si="1">A20*C20</x:f>
        <x:v>6160</x:v>
      </x:c>
      <x:c r="F20" s="19" t="str">
        <x:v>Programming 28-56 h: projection playback 12-24 h plus tracking 16-32 h. Map one visitor position to video frame, smooth forward / reverse, hold when stopped, reset on exit / loss.</x:v>
      </x:c>
    </x:row>
    <x:row r="21" ht="62" customHeight="1">
      <x:c r="A21" s="39" t="n">
        <x:v>12</x:v>
      </x:c>
      <x:c r="B21" s="2" t="s">
        <x:v>13</x:v>
      </x:c>
      <x:c r="C21" s="21" t="n">
        <x:f>$C$57</x:f>
        <x:v>220</x:v>
      </x:c>
      <x:c r="D21" s="21" t="n">
        <x:f t="shared" si="1">A21*C21</x:f>
        <x:v>2640</x:v>
      </x:c>
      <x:c r="F21" s="19" t="str">
        <x:v>Integration 12-24 h: projector / camera mounts, USB and power, camera handoff calibration, projection alignment and media preparation. No custom PCB.</x:v>
      </x:c>
    </x:row>
    <x:row r="22" ht="62" customHeight="1">
      <x:c r="A22" s="39" t="n">
        <x:v>10</x:v>
      </x:c>
      <x:c r="B22" s="2" t="s">
        <x:v>14</x:v>
      </x:c>
      <x:c r="C22" s="21" t="n">
        <x:f>$C$57</x:f>
        <x:v>220</x:v>
      </x:c>
      <x:c r="D22" s="21" t="n">
        <x:f t="shared" si="1">A22*C22</x:f>
        <x:v>2200</x:v>
      </x:c>
      <x:c r="F22" s="19" t="str">
        <x:v>Testing 10-20 h: seams, brightness / colour, person walking / stopping / reversing, entry / exit, camera handoff and reverse playback performance.</x:v>
      </x:c>
    </x:row>
    <x:row r="23" ht="62" customHeight="1">
      <x:c r="A23" s="39" t="n">
        <x:v>4</x:v>
      </x:c>
      <x:c r="B23" s="2" t="str">
        <x:v>QA</x:v>
      </x:c>
      <x:c r="C23" s="21" t="n">
        <x:f>$C$57</x:f>
        <x:v>220</x:v>
      </x:c>
      <x:c r="D23" s="21" t="n">
        <x:f t="shared" si="1">A23*C23</x:f>
        <x:v>880</x:v>
      </x:c>
      <x:c r="F23" s="19" t="str">
        <x:v>QA 4-8 h: tracking loss / re-entry, restart recovery and soak setup / review. Unattended soak time is not billed.</x:v>
      </x:c>
    </x:row>
    <x:row r="24" ht="62" customHeight="1">
      <x:c r="A24" s="39" t="n">
        <x:f>ROUNDUP($A$54*(SUM(A18:A23)+A25+A26+SUM(A32:A40)),0)</x:f>
        <x:v>42</x:v>
      </x:c>
      <x:c r="B24" s="2" t="s">
        <x:v>15</x:v>
      </x:c>
      <x:c r="C24" s="21" t="n">
        <x:f>$C$57</x:f>
        <x:v>220</x:v>
      </x:c>
      <x:c r="D24" s="21" t="n">
        <x:f t="shared" si="1">A24*C24</x:f>
        <x:v>9240</x:v>
      </x:c>
      <x:c r="F24" s="19" t="str">
        <x:v>Public deployment uplift x1.4: add 40% of base project hours, rounded up. Covers recovery, durable mounting / cabling and operator reliability.</x:v>
      </x:c>
    </x:row>
    <x:row r="25" ht="62" customHeight="1">
      <x:c r="A25" s="39" t="n">
        <x:v>6</x:v>
      </x:c>
      <x:c r="B25" s="2" t="s">
        <x:v>16</x:v>
      </x:c>
      <x:c r="C25" s="21" t="n">
        <x:f>$C$57</x:f>
        <x:v>220</x:v>
      </x:c>
      <x:c r="D25" s="21" t="n">
        <x:f t="shared" si="1">A25*C25</x:f>
        <x:v>1320</x:v>
      </x:c>
      <x:c r="F25" s="19" t="str">
        <x:v>Documentation 6-12 h: projection and camera layout, calibration, media / configuration backups and operator handover.</x:v>
      </x:c>
    </x:row>
    <x:row r="26" ht="62" customHeight="1">
      <x:c r="A26" s="39" t="n">
        <x:v>8</x:v>
      </x:c>
      <x:c r="B26" s="2" t="str">
        <x:v>Content Development</x:v>
      </x:c>
      <x:c r="C26" s="21" t="n">
        <x:f>$C$57</x:f>
        <x:v>220</x:v>
      </x:c>
      <x:c r="D26" s="21" t="n">
        <x:f t="shared" si="1">A26*C26</x:f>
        <x:v>1760</x:v>
      </x:c>
      <x:c r="F26" s="19" t="str">
        <x:v>Content development 8-16 h: source an existing licensed animated raptor, make one side-view walking-across-wall clip, simple background, one review / revision and export for forward / reverse scrubbing. No bespoke modelling.</x:v>
      </x:c>
    </x:row>
    <x:row r="27" ht="62" customHeight="1">
      <x:c r="A27" s="39" t="n">
        <x:f>ROUNDUP($A$53*(($A$58+A19+A20+A21+A26)*(1+$A$54)),0)</x:f>
        <x:v>24</x:v>
      </x:c>
      <x:c r="B27" s="2" t="s">
        <x:v>17</x:v>
      </x:c>
      <x:c r="C27" s="21" t="n">
        <x:f>$C$57</x:f>
        <x:v>220</x:v>
      </x:c>
      <x:c r="D27" s="21" t="n">
        <x:f t="shared" si="1">A27*C27</x:f>
        <x:v>5280</x:v>
      </x:c>
      <x:c r="F27" s="19" t="str">
        <x:v>25% buffer on design + prototype + programming + integration + content after x1.4 uplift. Design-only hours are in A58.</x:v>
      </x:c>
    </x:row>
    <x:row r="28">
      <x:c r="A28" s="40" t="n">
        <x:f>SUM(A18:A27)</x:f>
        <x:v>158</x:v>
      </x:c>
      <x:c r="C28" s="22" t="str">
        <x:v>Shared labour subtotal</x:v>
      </x:c>
      <x:c r="D28" s="23" t="n">
        <x:f>SUM(D18:D27)</x:f>
        <x:v>34760</x:v>
      </x:c>
      <x:c r="F28" s="19" t="str">
        <x:v>Total labour hours including installation</x:v>
      </x:c>
      <x:c r="H28" s="44" t="n">
        <x:f>A28+A42</x:f>
        <x:v>170</x:v>
      </x:c>
    </x:row>
    <x:row r="29">
      <x:c r="A29" s="37"/>
      <x:c r="C29" s="21"/>
      <x:c r="D29" s="21"/>
      <x:c r="F29" s="19"/>
    </x:row>
    <x:row r="30">
      <x:c r="A30" s="41" t="str">
        <x:v>Project Hours - On-site installation and commissioning</x:v>
      </x:c>
      <x:c r="C30" s="21"/>
      <x:c r="D30" s="21"/>
      <x:c r="F30" s="19"/>
    </x:row>
    <x:row r="31">
      <x:c r="A31" s="42" t="s">
        <x:v>1</x:v>
      </x:c>
      <x:c r="B31" s="3" t="s">
        <x:v>2</x:v>
      </x:c>
      <x:c r="C31" s="43" t="s">
        <x:v>3</x:v>
      </x:c>
      <x:c r="D31" s="43" t="s">
        <x:v>4</x:v>
      </x:c>
      <x:c r="F31" s="13" t="str">
        <x:v>Notes / estimate basis [U]</x:v>
      </x:c>
    </x:row>
    <x:row r="32" ht="42" customHeight="1">
      <x:c r="A32" s="39" t="n">
        <x:v>0</x:v>
      </x:c>
      <x:c r="B32" s="2" t="s">
        <x:v>10</x:v>
      </x:c>
      <x:c r="C32" s="21" t="n">
        <x:f>$C$57</x:f>
        <x:v>220</x:v>
      </x:c>
      <x:c r="D32" s="21" t="n">
        <x:f t="shared" ref="D32:D41" si="2">A32*C32</x:f>
        <x:v>0</x:v>
      </x:c>
      <x:c r="F32" s="19" t="str">
        <x:v>Zero: this phase is included in the shared work block. No duplicate charge.</x:v>
      </x:c>
    </x:row>
    <x:row r="33" ht="42" customHeight="1">
      <x:c r="A33" s="39" t="n">
        <x:v>0</x:v>
      </x:c>
      <x:c r="B33" s="2" t="s">
        <x:v>11</x:v>
      </x:c>
      <x:c r="C33" s="21" t="n">
        <x:f>$C$57</x:f>
        <x:v>220</x:v>
      </x:c>
      <x:c r="D33" s="21" t="n">
        <x:f t="shared" si="2">A33*C33</x:f>
        <x:v>0</x:v>
      </x:c>
      <x:c r="F33" s="19" t="str">
        <x:v>Zero: this phase is included in the shared work block. No duplicate charge.</x:v>
      </x:c>
    </x:row>
    <x:row r="34" ht="42" customHeight="1">
      <x:c r="A34" s="39" t="n">
        <x:v>0</x:v>
      </x:c>
      <x:c r="B34" s="2" t="s">
        <x:v>12</x:v>
      </x:c>
      <x:c r="C34" s="21" t="n">
        <x:f>$C$57</x:f>
        <x:v>220</x:v>
      </x:c>
      <x:c r="D34" s="21" t="n">
        <x:f t="shared" si="2">A34*C34</x:f>
        <x:v>0</x:v>
      </x:c>
      <x:c r="F34" s="19" t="str">
        <x:v>Zero: this phase is included in the shared work block. No duplicate charge.</x:v>
      </x:c>
    </x:row>
    <x:row r="35" ht="42" customHeight="1">
      <x:c r="A35" s="39" t="n">
        <x:v>0</x:v>
      </x:c>
      <x:c r="B35" s="2" t="s">
        <x:v>13</x:v>
      </x:c>
      <x:c r="C35" s="21" t="n">
        <x:f>$C$57</x:f>
        <x:v>220</x:v>
      </x:c>
      <x:c r="D35" s="21" t="n">
        <x:f t="shared" si="2">A35*C35</x:f>
        <x:v>0</x:v>
      </x:c>
      <x:c r="F35" s="19" t="str">
        <x:v>Zero: this phase is included in the shared work block. No duplicate charge.</x:v>
      </x:c>
    </x:row>
    <x:row r="36" ht="42" customHeight="1">
      <x:c r="A36" s="39" t="n">
        <x:v>0</x:v>
      </x:c>
      <x:c r="B36" s="2" t="s">
        <x:v>14</x:v>
      </x:c>
      <x:c r="C36" s="21" t="n">
        <x:f>$C$57</x:f>
        <x:v>220</x:v>
      </x:c>
      <x:c r="D36" s="21" t="n">
        <x:f t="shared" si="2">A36*C36</x:f>
        <x:v>0</x:v>
      </x:c>
      <x:c r="F36" s="19" t="str">
        <x:v>Zero: this phase is included in the shared work block. No duplicate charge.</x:v>
      </x:c>
    </x:row>
    <x:row r="37" ht="42" customHeight="1">
      <x:c r="A37" s="39" t="n">
        <x:v>0</x:v>
      </x:c>
      <x:c r="B37" s="2" t="str">
        <x:v>QA</x:v>
      </x:c>
      <x:c r="C37" s="21" t="n">
        <x:f>$C$57</x:f>
        <x:v>220</x:v>
      </x:c>
      <x:c r="D37" s="21" t="n">
        <x:f t="shared" si="2">A37*C37</x:f>
        <x:v>0</x:v>
      </x:c>
      <x:c r="F37" s="19" t="str">
        <x:v>Zero: this phase is included in the shared work block. No duplicate charge.</x:v>
      </x:c>
    </x:row>
    <x:row r="38" ht="42" customHeight="1">
      <x:c r="A38" s="39" t="n">
        <x:v>0</x:v>
      </x:c>
      <x:c r="B38" s="2" t="s">
        <x:v>15</x:v>
      </x:c>
      <x:c r="C38" s="21" t="n">
        <x:f>$C$57</x:f>
        <x:v>220</x:v>
      </x:c>
      <x:c r="D38" s="21" t="n">
        <x:f t="shared" si="2">A38*C38</x:f>
        <x:v>0</x:v>
      </x:c>
      <x:c r="F38" s="19" t="str">
        <x:v>Zero: this phase is included in the shared work block. No duplicate charge.</x:v>
      </x:c>
    </x:row>
    <x:row r="39" ht="42" customHeight="1">
      <x:c r="A39" s="39" t="n">
        <x:v>0</x:v>
      </x:c>
      <x:c r="B39" s="2" t="s">
        <x:v>16</x:v>
      </x:c>
      <x:c r="C39" s="21" t="n">
        <x:f>$C$57</x:f>
        <x:v>220</x:v>
      </x:c>
      <x:c r="D39" s="21" t="n">
        <x:f t="shared" si="2">A39*C39</x:f>
        <x:v>0</x:v>
      </x:c>
      <x:c r="F39" s="19" t="str">
        <x:v>Zero: this phase is included in the shared work block. No duplicate charge.</x:v>
      </x:c>
    </x:row>
    <x:row r="40" ht="42" customHeight="1">
      <x:c r="A40" s="39" t="n">
        <x:v>12</x:v>
      </x:c>
      <x:c r="B40" s="2" t="s">
        <x:v>18</x:v>
      </x:c>
      <x:c r="C40" s="21" t="n">
        <x:f>$C$57</x:f>
        <x:v>220</x:v>
      </x:c>
      <x:c r="D40" s="21" t="n">
        <x:f t="shared" si="2">A40*C40</x:f>
        <x:v>2640</x:v>
      </x:c>
      <x:c r="F40" s="19" t="str">
        <x:v>Install 12-24 person-hours: transport, projection setup, camera mounting / calibration, visitor walk tests and venue handover. One installation; no ongoing attendance.</x:v>
      </x:c>
    </x:row>
    <x:row r="41" ht="42" customHeight="1">
      <x:c r="A41" s="39" t="n">
        <x:v>0</x:v>
      </x:c>
      <x:c r="B41" s="2" t="s">
        <x:v>17</x:v>
      </x:c>
      <x:c r="C41" s="21" t="n">
        <x:f>$C$57</x:f>
        <x:v>220</x:v>
      </x:c>
      <x:c r="D41" s="21" t="n">
        <x:f t="shared" si="2">A41*C41</x:f>
        <x:v>0</x:v>
      </x:c>
      <x:c r="F41" s="19" t="str">
        <x:v>Zero: this phase is included in the shared work block. No duplicate charge.</x:v>
      </x:c>
    </x:row>
    <x:row r="42">
      <x:c r="A42" s="40" t="n">
        <x:f>SUM(A32:A41)</x:f>
        <x:v>12</x:v>
      </x:c>
      <x:c r="C42" s="22" t="str">
        <x:v>Installation subtotal</x:v>
      </x:c>
      <x:c r="D42" s="23" t="n">
        <x:f>SUM(D32:D41)</x:f>
        <x:v>2640</x:v>
      </x:c>
      <x:c r="F42" t="str">
        <x:v>Calendar weeks [U]: 30 h/week, x1.3 approvals</x:v>
      </x:c>
      <x:c r="H42" s="45" t="n">
        <x:f>ROUNDUP(H28/$C$54*$C$53,0)</x:f>
        <x:v>8</x:v>
      </x:c>
    </x:row>
    <x:row r="45">
      <x:c r="C45" s="11" t="str">
        <x:v>Total tech estimate</x:v>
      </x:c>
      <x:c r="D45" s="24" t="n">
        <x:f>D13+D28+D42</x:f>
        <x:v>52800</x:v>
      </x:c>
    </x:row>
    <x:row r="46">
      <x:c r="D46" s="21"/>
    </x:row>
    <x:row r="47">
      <x:c r="B47" s="2" t="str">
        <x:v>Cost breakdown (materials unrounded)</x:v>
      </x:c>
      <x:c r="D47" s="21"/>
    </x:row>
    <x:row r="48">
      <x:c r="B48" t="str">
        <x:v>Shared labour + shared hardware / projector 1 + contingency</x:v>
      </x:c>
      <x:c r="D48" s="21" t="n">
        <x:f>D28+SUMPRODUCT(H5:H11,C5:C11)</x:f>
        <x:v>47228.5</x:v>
      </x:c>
    </x:row>
    <x:row r="49">
      <x:c r="B49" t="str">
        <x:v>Installation labour + projector 2 hardware</x:v>
      </x:c>
      <x:c r="D49" s="21" t="n">
        <x:f>D42+SUMPRODUCT(I5:I11,C5:C11)</x:f>
        <x:v>5494</x:v>
      </x:c>
    </x:row>
    <x:row r="50">
      <x:c r="A50" s="4"/>
      <x:c r="B50" t="str">
        <x:v>Image width per projector</x:v>
      </x:c>
      <x:c r="C50" s="5" t="str">
        <x:v>ft</x:v>
      </x:c>
      <x:c r="D50" s="14" t="n">
        <x:v>8</x:v>
      </x:c>
    </x:row>
    <x:row r="51">
      <x:c r="B51" t="str">
        <x:v>Image height per projector</x:v>
      </x:c>
      <x:c r="C51" t="str">
        <x:v>ft</x:v>
      </x:c>
      <x:c r="D51" s="14" t="n">
        <x:f>D50*9/16</x:f>
        <x:v>4.5</x:v>
      </x:c>
    </x:row>
    <x:row r="52">
      <x:c r="B52" s="2" t="str">
        <x:v>Combined projected width</x:v>
      </x:c>
      <x:c r="C52" t="str">
        <x:v>ft</x:v>
      </x:c>
      <x:c r="D52" s="15" t="n">
        <x:f>A5*D50-A59</x:f>
        <x:v>15</x:v>
      </x:c>
    </x:row>
    <x:row r="53" ht="32" customHeight="1">
      <x:c r="A53" s="50" t="n">
        <x:v>0.25</x:v>
      </x:c>
      <x:c r="B53" s="19" t="str">
        <x:v>Iteration buffer [U] - editable percentage</x:v>
      </x:c>
      <x:c r="C53" s="57" t="n">
        <x:v>1.3</x:v>
      </x:c>
      <x:c r="D53" s="19" t="str">
        <x:v>Calendar approval multiplier [U]</x:v>
      </x:c>
    </x:row>
    <x:row r="54" ht="32" customHeight="1">
      <x:c r="A54" s="50" t="n">
        <x:v>0.4</x:v>
      </x:c>
      <x:c r="B54" s="19" t="str">
        <x:v>Public deployment uplift [U] - editable 40% (x1.4 total)</x:v>
      </x:c>
      <x:c r="C54" s="58" t="n">
        <x:v>30</x:v>
      </x:c>
      <x:c r="D54" s="19" t="str">
        <x:v>Focused hours/week [U]</x:v>
      </x:c>
    </x:row>
    <x:row r="55">
      <x:c r="B55" s="2" t="s">
        <x:v>19</x:v>
      </x:c>
    </x:row>
    <x:row r="56">
      <x:c r="B56" t="str">
        <x:v>Scope: one 15 x 4.5 ft wall, two landscape USTs, one raptor video and one tracked visitor. Two overhead depth cameras provisionally allowed.</x:v>
      </x:c>
    </x:row>
    <x:row r="57">
      <x:c r="B57" t="str">
        <x:v>Rate supplied by Garrett; edit C57. HST excluded.</x:v>
      </x:c>
      <x:c r="C57" s="52" t="n">
        <x:v>220</x:v>
      </x:c>
    </x:row>
    <x:row r="58">
      <x:c r="A58" s="54" t="n">
        <x:v>6</x:v>
      </x:c>
      <x:c r="B58" t="str">
        <x:v>LOW scenario. Base design-only hours in A58 feed the buffer. All labour hours are [U] planning estimates.</x:v>
      </x:c>
    </x:row>
    <x:row r="59">
      <x:c r="A59" s="17" t="n">
        <x:v>1</x:v>
      </x:c>
      <x:c r="B59" t="str">
        <x:v>Overlap between the two 8 ft wide images: 1 ft [U]. Edit overlap in A59; combined width is calculated in D52.</x:v>
      </x:c>
    </x:row>
    <x:row r="60">
      <x:c r="A60" s="18" t="n">
        <x:v>0.25</x:v>
      </x:c>
      <x:c r="B60" t="str">
        <x:v>Materials contingency: 25% [U]. Edit percentage in A60. Shared equipment and contingency are allocated to projector 1.</x:v>
      </x:c>
    </x:row>
    <x:row r="61">
      <x:c r="B61" t="str">
        <x:v>Nominal optical throw: 8 ft x 0.25 = 2 ft [U calculation]. Complete mounting / cooling / access envelope remains unverified.</x:v>
      </x:c>
    </x:row>
    <x:row r="62">
      <x:c r="B62" t="str">
        <x:v>Reserve 3-3.5 ft rear-bay depth provisionally [U]; verify model-specific mounting height and physical clearance before fabrication.</x:v>
      </x:c>
    </x:row>
    <x:row r="63">
      <x:c r="B63" t="str">
        <x:v>Use tensioned diffuse rear-projection fabric. Keep framing and exterior branding out of the beam paths and translucent screen back.</x:v>
      </x:c>
    </x:row>
    <x:row r="64">
      <x:c r="B64" t="str">
        <x:v>Assume familiar depth / playback tools, wired indoor installation. New technology adds x1.5-2 to affected work (not applied). Asset and camera compatibility unverified.</x:v>
      </x:c>
    </x:row>
    <x:row r="65">
      <x:c r="B65" t="str">
        <x:v>Excludes bespoke raptor modelling / rigging, additional scenes, multi-person following, audio / sound design, main tunnel fabrication and ongoing attendance.</x:v>
      </x:c>
    </x:row>
    <x:row r="66">
      <x:c r="B66" t="str">
        <x:v>Follow behaviour: map visitor position to clip frame. Stops hold a frame. Backward steps reverse the clip (raptor backpedals). Exit / lost tracking resets.</x:v>
      </x:c>
    </x:row>
    <x:row r="67">
      <x:c r="B67" t="str">
        <x:v>Prototype camera coverage, handoff and video scrubbing before committing. Calendar assumes 30 focused h/week, x1.3 approvals. Lead times and real hardware unverified.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430000305175781" hidden="0" customWidth="1"/>
    <x:col min="2" max="2" width="58.5" hidden="0" customWidth="1"/>
    <x:col min="3" max="3" width="22.375" hidden="0" customWidth="1"/>
    <x:col min="4" max="4" width="22.5" hidden="0" customWidth="1"/>
    <x:col min="5" max="5" width="8.430000305175781" hidden="0" customWidth="1"/>
    <x:col min="6" max="6" width="70.625" hidden="0" customWidth="1"/>
    <x:col min="7" max="7" width="54.125" hidden="0" customWidth="1"/>
    <x:col min="8" max="8" width="16" hidden="0" customWidth="1"/>
    <x:col min="9" max="9" width="20" hidden="0" customWidth="1"/>
  </x:cols>
  <x:sheetData>
    <x:row r="1" ht="26" customHeight="1">
      <x:c r="A1" s="26" t="str">
        <x:v>Ctech Estimate - ROM Raptors Tunnel (Landscape, High)</x:v>
      </x:c>
      <x:c r="B1" s="25"/>
      <x:c r="C1" s="25"/>
      <x:c r="D1" s="25"/>
      <x:c r="E1" s="25"/>
      <x:c r="F1" s="25"/>
      <x:c r="G1" s="25"/>
      <x:c r="H1" s="25"/>
      <x:c r="I1" s="25"/>
    </x:row>
    <x:row r="2">
      <x:c r="A2" s="27" t="str">
        <x:v>Prepared Sep 18 2026 | CAD $ excl. HST | one projection wall | rate CAD $220/h | hours and non-projector costs are [U] estimates</x:v>
      </x:c>
      <x:c r="B2" s="25"/>
      <x:c r="C2" s="25"/>
      <x:c r="D2" s="25"/>
      <x:c r="E2" s="25"/>
      <x:c r="F2" s="25"/>
      <x:c r="G2" s="25"/>
      <x:c r="H2" s="25"/>
      <x:c r="I2" s="25"/>
    </x:row>
    <x:row r="3">
      <x:c r="A3" s="28" t="s">
        <x:v>0</x:v>
      </x:c>
      <x:c r="B3" s="25"/>
      <x:c r="C3" s="25"/>
      <x:c r="D3" s="25"/>
      <x:c r="E3" s="25"/>
      <x:c r="F3" s="25"/>
      <x:c r="G3" s="25"/>
      <x:c r="H3" s="25"/>
      <x:c r="I3" s="25"/>
    </x:row>
    <x:row r="4" ht="38" customHeight="1">
      <x:c r="A4" s="28" t="s">
        <x:v>1</x:v>
      </x:c>
      <x:c r="B4" s="28" t="s">
        <x:v>2</x:v>
      </x:c>
      <x:c r="C4" s="28" t="s">
        <x:v>3</x:v>
      </x:c>
      <x:c r="D4" s="28" t="s">
        <x:v>4</x:v>
      </x:c>
      <x:c r="E4" s="28" t="s">
        <x:v>5</x:v>
      </x:c>
      <x:c r="F4" s="28" t="s">
        <x:v>6</x:v>
      </x:c>
      <x:c r="G4" s="28" t="s">
        <x:v>7</x:v>
      </x:c>
      <x:c r="H4" s="29" t="str">
        <x:v>Qty - shared / projector 1</x:v>
      </x:c>
      <x:c r="I4" s="29" t="str">
        <x:v>Qty - projector 2</x:v>
      </x:c>
    </x:row>
    <x:row r="5" ht="66" customHeight="1">
      <x:c r="A5" s="25" t="n">
        <x:v>2</x:v>
      </x:c>
      <x:c r="B5" s="19" t="str">
        <x:v>Epson PowerLite 770F UST laser projector - landscape</x:v>
      </x:c>
      <x:c r="C5" s="21" t="n">
        <x:v>2854</x:v>
      </x:c>
      <x:c r="D5" s="21" t="n">
        <x:f>C5*A5</x:f>
        <x:v>5708</x:v>
      </x:c>
      <x:c r="E5" s="25" t="n">
        <x:v>0</x:v>
      </x:c>
      <x:c r="F5" s="19" t="str">
        <x:v>[V] CAD unit price read Sep 18 2026 from Epson Canada. [U] selection / quantity; stock and rear-fabric test not confirmed.</x:v>
      </x:c>
      <x:c r="G5" s="19" t="str">
        <x:v>https://epson.ca/For-Work/Projectors/Classroom/PowerLite-770F-1080p-3LCD-Ultra-Short-Throw-Lamp-Free-Laser-Display/p/V11HA79020</x:v>
      </x:c>
      <x:c r="H5" s="25" t="n">
        <x:v>1</x:v>
      </x:c>
      <x:c r="I5" s="25" t="n">
        <x:v>1</x:v>
      </x:c>
    </x:row>
    <x:row r="6" ht="66" customHeight="1">
      <x:c r="A6" s="25" t="n">
        <x:v>1</x:v>
      </x:c>
      <x:c r="B6" s="19" t="str">
        <x:v>Playback PC + visitor tracking kit [U]</x:v>
      </x:c>
      <x:c r="C6" s="21" t="n">
        <x:v>4900</x:v>
      </x:c>
      <x:c r="D6" s="21" t="n">
        <x:f>C6*A6</x:f>
        <x:v>4900</x:v>
      </x:c>
      <x:c r="E6" s="25" t="n">
        <x:v>0</x:v>
      </x:c>
      <x:c r="F6" s="19" t="str">
        <x:v>PC CAD $1,500-2,500 plus two depth cameras, USB / power, mounts and shipping CAD $1,600-2,400 [U] budget allowance. Candidate: Orbbec Femto Bolt. Coverage / compatibility requires prototype.</x:v>
      </x:c>
      <x:c r="G6" s="19" t="str">
        <x:v>https://www.orbbec.com/products/tof-camera/femto-bolt/</x:v>
      </x:c>
      <x:c r="H6" s="25" t="n">
        <x:v>1</x:v>
      </x:c>
      <x:c r="I6" s="25" t="n">
        <x:v>0</x:v>
      </x:c>
    </x:row>
    <x:row r="7" ht="66" customHeight="1">
      <x:c r="A7" s="25" t="n">
        <x:v>1</x:v>
      </x:c>
      <x:c r="B7" s="19" t="str">
        <x:v>Finished white rear-projection fabric panel</x:v>
      </x:c>
      <x:c r="C7" s="21" t="n">
        <x:v>1600</x:v>
      </x:c>
      <x:c r="D7" s="21" t="n">
        <x:f>C7*A7</x:f>
        <x:v>1600</x:v>
      </x:c>
      <x:c r="E7" s="25" t="n">
        <x:v>0</x:v>
      </x:c>
      <x:c r="F7" s="19" t="str">
        <x:v>[U] allowance; retains 15 x 8 ft wall panel. Image band is 15 x 4.5 ft. Sample-test UST performance.</x:v>
      </x:c>
      <x:c r="G7" s="19" t="str">
        <x:v>https://www.rosebrand.com/softscreen-122-in-ifr-white [US]</x:v>
      </x:c>
      <x:c r="H7" s="25" t="n">
        <x:v>1</x:v>
      </x:c>
      <x:c r="I7" s="25" t="n">
        <x:v>0</x:v>
      </x:c>
    </x:row>
    <x:row r="8" ht="66" customHeight="1">
      <x:c r="A8" s="25" t="n">
        <x:v>1</x:v>
      </x:c>
      <x:c r="B8" s="19" t="str">
        <x:v>Two landscape mounts and perimeter screen tensioning</x:v>
      </x:c>
      <x:c r="C8" s="21" t="n">
        <x:v>1800</x:v>
      </x:c>
      <x:c r="D8" s="21" t="n">
        <x:f>C8*A8</x:f>
        <x:v>1800</x:v>
      </x:c>
      <x:c r="E8" s="25" t="n">
        <x:v>0</x:v>
      </x:c>
      <x:c r="F8" s="19" t="str">
        <x:v>[U] allowance: mounts 500-1,000 plus tensioning 300-800. Main tunnel structure excluded.</x:v>
      </x:c>
      <x:c r="G8" s="19" t="str">
        <x:v>N/A</x:v>
      </x:c>
      <x:c r="H8" s="25" t="n">
        <x:v>1</x:v>
      </x:c>
      <x:c r="I8" s="25" t="n">
        <x:v>0</x:v>
      </x:c>
    </x:row>
    <x:row r="9" ht="66" customHeight="1">
      <x:c r="A9" s="25" t="n">
        <x:v>1</x:v>
      </x:c>
      <x:c r="B9" s="19" t="str">
        <x:v>Two video feeds, adapters, power and network cables</x:v>
      </x:c>
      <x:c r="C9" s="21" t="n">
        <x:v>1000</x:v>
      </x:c>
      <x:c r="D9" s="21" t="n">
        <x:f>C9*A9</x:f>
        <x:v>1000</x:v>
      </x:c>
      <x:c r="E9" s="25" t="n">
        <x:v>0</x:v>
      </x:c>
      <x:c r="F9" s="19" t="str">
        <x:v>[U] allowance: video 200-400 plus power / control 250-600. Do not use a mirroring splitter.</x:v>
      </x:c>
      <x:c r="G9" s="19" t="str">
        <x:v>N/A</x:v>
      </x:c>
      <x:c r="H9" s="25" t="n">
        <x:v>1</x:v>
      </x:c>
      <x:c r="I9" s="25" t="n">
        <x:v>0</x:v>
      </x:c>
    </x:row>
    <x:row r="10" ht="66" customHeight="1">
      <x:c r="A10" s="25" t="n">
        <x:v>1</x:v>
      </x:c>
      <x:c r="B10" s="19" t="str">
        <x:v>Rear bay + shipping + software / asset [U]</x:v>
      </x:c>
      <x:c r="C10" s="21" t="n">
        <x:v>3200</x:v>
      </x:c>
      <x:c r="D10" s="21" t="n">
        <x:f>C10*A10</x:f>
        <x:v>3200</x:v>
      </x:c>
      <x:c r="E10" s="25" t="n">
        <x:v>0</x:v>
      </x:c>
      <x:c r="F10" s="19" t="str">
        <x:v>Rear-bay blackout / shipping CAD $700-1,800 plus commercial playback software / licensed animated raptor CAD $800-1,400 [U] budget. Actual licence and asset quotes not obtained.</x:v>
      </x:c>
      <x:c r="G10" s="19" t="str">
        <x:v>https://derivative.ca/UserGuide/Movie_File_In_TOP</x:v>
      </x:c>
      <x:c r="H10" s="25" t="n">
        <x:v>1</x:v>
      </x:c>
      <x:c r="I10" s="25" t="n">
        <x:v>0</x:v>
      </x:c>
    </x:row>
    <x:row r="11" ht="66" customHeight="1">
      <x:c r="A11" s="25">
        <x:v>1</x:v>
      </x:c>
      <x:c r="B11" s="19" t="str">
        <x:v>Materials contingency</x:v>
      </x:c>
      <x:c r="C11" s="21" t="n">
        <x:f>$A$60*SUM(D5:D10)</x:f>
        <x:v>4552</x:v>
      </x:c>
      <x:c r="D11" s="21" t="n">
        <x:f>C11*A11</x:f>
        <x:v>4552</x:v>
      </x:c>
      <x:c r="E11" s="25" t="n">
        <x:v>0</x:v>
      </x:c>
      <x:c r="F11" s="19" t="str">
        <x:v>[U] 25% contingency for a design still being tested. Edit percentage in A60.</x:v>
      </x:c>
      <x:c r="G11" s="19" t="str">
        <x:v>N/A</x:v>
      </x:c>
      <x:c r="H11" s="25" t="n">
        <x:v>1</x:v>
      </x:c>
      <x:c r="I11" s="25" t="n">
        <x:v>0</x:v>
      </x:c>
    </x:row>
    <x:row r="12">
      <x:c r="A12" s="25"/>
      <x:c r="B12" s="25"/>
      <x:c r="C12" s="23" t="s">
        <x:v>8</x:v>
      </x:c>
      <x:c r="D12" s="23" t="n">
        <x:f>SUM(D5:D11)</x:f>
        <x:v>22760</x:v>
      </x:c>
      <x:c r="E12" s="25"/>
      <x:c r="F12" s="25"/>
      <x:c r="G12" s="25"/>
      <x:c r="H12" s="25"/>
      <x:c r="I12" s="25"/>
    </x:row>
    <x:row r="13">
      <x:c r="A13" s="25"/>
      <x:c r="B13" s="25"/>
      <x:c r="C13" s="23" t="s">
        <x:v>9</x:v>
      </x:c>
      <x:c r="D13" s="23" t="n">
        <x:f>ROUNDUP(D12,-2)</x:f>
        <x:v>22800</x:v>
      </x:c>
      <x:c r="E13" s="25"/>
      <x:c r="F13" s="25"/>
      <x:c r="G13" s="25"/>
      <x:c r="H13" s="25"/>
      <x:c r="I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</x:row>
    <x:row r="16">
      <x:c r="A16" s="28" t="str">
        <x:v>Project Hours - Shared design, development and testing</x:v>
      </x:c>
      <x:c r="B16" s="25"/>
      <x:c r="C16" s="25"/>
      <x:c r="D16" s="25"/>
      <x:c r="E16" s="25"/>
      <x:c r="F16" s="25"/>
      <x:c r="G16" s="25"/>
      <x:c r="H16" s="25"/>
      <x:c r="I16" s="25"/>
    </x:row>
    <x:row r="17">
      <x:c r="A17" s="28" t="s">
        <x:v>1</x:v>
      </x:c>
      <x:c r="B17" s="28" t="s">
        <x:v>2</x:v>
      </x:c>
      <x:c r="C17" s="28" t="s">
        <x:v>3</x:v>
      </x:c>
      <x:c r="D17" s="28" t="s">
        <x:v>4</x:v>
      </x:c>
      <x:c r="E17" s="28"/>
      <x:c r="F17" s="28" t="str">
        <x:v>Notes / estimate basis [U]</x:v>
      </x:c>
      <x:c r="G17" s="25"/>
      <x:c r="H17" s="25"/>
      <x:c r="I17" s="25"/>
    </x:row>
    <x:row r="18" ht="62" customHeight="1">
      <x:c r="A18" s="37" t="n">
        <x:v>24</x:v>
      </x:c>
      <x:c r="B18" s="28" t="s">
        <x:v>10</x:v>
      </x:c>
      <x:c r="C18" s="21" t="n">
        <x:f>$C$57</x:f>
        <x:v>220</x:v>
      </x:c>
      <x:c r="D18" s="21" t="n">
        <x:f>A18*C18</x:f>
        <x:v>5280</x:v>
      </x:c>
      <x:c r="E18" s="25"/>
      <x:c r="F18" s="19" t="str">
        <x:v>Design 6-12 h + procurement 6-12 h: projection layout, two overhead depth cameras, position-to-frame mapping and sourcing.</x:v>
      </x:c>
      <x:c r="G18" s="25"/>
      <x:c r="H18" s="25"/>
      <x:c r="I18" s="25"/>
    </x:row>
    <x:row r="19" ht="62" customHeight="1">
      <x:c r="A19" s="37" t="n">
        <x:v>24</x:v>
      </x:c>
      <x:c r="B19" s="28" t="s">
        <x:v>11</x:v>
      </x:c>
      <x:c r="C19" s="21" t="n">
        <x:f>$C$57</x:f>
        <x:v>220</x:v>
      </x:c>
      <x:c r="D19" s="21" t="n">
        <x:f>A19*C19</x:f>
        <x:v>5280</x:v>
      </x:c>
      <x:c r="E19" s="25"/>
      <x:c r="F19" s="19" t="str">
        <x:v>Prototype 12-24 h: fabric / UST test plus camera coverage, camera handoff, visitor position and bidirectional video scrubbing.</x:v>
      </x:c>
      <x:c r="G19" s="25"/>
      <x:c r="H19" s="25"/>
      <x:c r="I19" s="25"/>
    </x:row>
    <x:row r="20" ht="62" customHeight="1">
      <x:c r="A20" s="37" t="n">
        <x:v>56</x:v>
      </x:c>
      <x:c r="B20" s="28" t="s">
        <x:v>12</x:v>
      </x:c>
      <x:c r="C20" s="21" t="n">
        <x:f>$C$57</x:f>
        <x:v>220</x:v>
      </x:c>
      <x:c r="D20" s="21" t="n">
        <x:f>A20*C20</x:f>
        <x:v>12320</x:v>
      </x:c>
      <x:c r="E20" s="25"/>
      <x:c r="F20" s="19" t="str">
        <x:v>Programming 28-56 h: projection playback 12-24 h plus tracking 16-32 h. Map one visitor position to video frame, smooth forward / reverse, hold when stopped, reset on exit / loss.</x:v>
      </x:c>
      <x:c r="G20" s="25"/>
      <x:c r="H20" s="25"/>
      <x:c r="I20" s="25"/>
    </x:row>
    <x:row r="21" ht="62" customHeight="1">
      <x:c r="A21" s="37" t="n">
        <x:v>24</x:v>
      </x:c>
      <x:c r="B21" s="28" t="s">
        <x:v>13</x:v>
      </x:c>
      <x:c r="C21" s="21" t="n">
        <x:f>$C$57</x:f>
        <x:v>220</x:v>
      </x:c>
      <x:c r="D21" s="21" t="n">
        <x:f>A21*C21</x:f>
        <x:v>5280</x:v>
      </x:c>
      <x:c r="E21" s="25"/>
      <x:c r="F21" s="19" t="str">
        <x:v>Integration 12-24 h: projector / camera mounts, USB and power, camera handoff calibration, projection alignment and media preparation. No custom PCB.</x:v>
      </x:c>
      <x:c r="G21" s="25"/>
      <x:c r="H21" s="25"/>
      <x:c r="I21" s="25"/>
    </x:row>
    <x:row r="22" ht="62" customHeight="1">
      <x:c r="A22" s="37" t="n">
        <x:v>20</x:v>
      </x:c>
      <x:c r="B22" s="28" t="s">
        <x:v>14</x:v>
      </x:c>
      <x:c r="C22" s="21" t="n">
        <x:f>$C$57</x:f>
        <x:v>220</x:v>
      </x:c>
      <x:c r="D22" s="21" t="n">
        <x:f>A22*C22</x:f>
        <x:v>4400</x:v>
      </x:c>
      <x:c r="E22" s="25"/>
      <x:c r="F22" s="19" t="str">
        <x:v>Testing 10-20 h: seams, brightness / colour, person walking / stopping / reversing, entry / exit, camera handoff and reverse playback performance.</x:v>
      </x:c>
      <x:c r="G22" s="25"/>
      <x:c r="H22" s="25"/>
      <x:c r="I22" s="25"/>
    </x:row>
    <x:row r="23" ht="62" customHeight="1">
      <x:c r="A23" s="37" t="n">
        <x:v>8</x:v>
      </x:c>
      <x:c r="B23" s="28" t="str">
        <x:v>QA</x:v>
      </x:c>
      <x:c r="C23" s="21" t="n">
        <x:f>$C$57</x:f>
        <x:v>220</x:v>
      </x:c>
      <x:c r="D23" s="21" t="n">
        <x:f>A23*C23</x:f>
        <x:v>1760</x:v>
      </x:c>
      <x:c r="E23" s="25"/>
      <x:c r="F23" s="19" t="str">
        <x:v>QA 4-8 h: tracking loss / re-entry, restart recovery and soak setup / review. Unattended soak time is not billed.</x:v>
      </x:c>
      <x:c r="G23" s="25"/>
      <x:c r="H23" s="25"/>
      <x:c r="I23" s="25"/>
    </x:row>
    <x:row r="24" ht="62" customHeight="1">
      <x:c r="A24" s="37" t="n">
        <x:f>ROUNDUP($A$54*(SUM(A18:A23)+A25+A26+SUM(A32:A40)),0)</x:f>
        <x:v>84</x:v>
      </x:c>
      <x:c r="B24" s="28" t="s">
        <x:v>15</x:v>
      </x:c>
      <x:c r="C24" s="21" t="n">
        <x:f>$C$57</x:f>
        <x:v>220</x:v>
      </x:c>
      <x:c r="D24" s="21" t="n">
        <x:f>A24*C24</x:f>
        <x:v>18480</x:v>
      </x:c>
      <x:c r="E24" s="25"/>
      <x:c r="F24" s="19" t="str">
        <x:v>Public deployment uplift x1.4: add 40% of base project hours, rounded up. Covers recovery, durable mounting / cabling and operator reliability.</x:v>
      </x:c>
      <x:c r="G24" s="25"/>
      <x:c r="H24" s="25"/>
      <x:c r="I24" s="25"/>
    </x:row>
    <x:row r="25" ht="62" customHeight="1">
      <x:c r="A25" s="37" t="n">
        <x:v>12</x:v>
      </x:c>
      <x:c r="B25" s="28" t="s">
        <x:v>16</x:v>
      </x:c>
      <x:c r="C25" s="21" t="n">
        <x:f>$C$57</x:f>
        <x:v>220</x:v>
      </x:c>
      <x:c r="D25" s="21" t="n">
        <x:f>A25*C25</x:f>
        <x:v>2640</x:v>
      </x:c>
      <x:c r="E25" s="25"/>
      <x:c r="F25" s="19" t="str">
        <x:v>Documentation 6-12 h: projection and camera layout, calibration, media / configuration backups and operator handover.</x:v>
      </x:c>
      <x:c r="G25" s="25"/>
      <x:c r="H25" s="25"/>
      <x:c r="I25" s="25"/>
    </x:row>
    <x:row r="26" ht="62" customHeight="1">
      <x:c r="A26" s="37" t="n">
        <x:v>16</x:v>
      </x:c>
      <x:c r="B26" s="28" t="str">
        <x:v>Content Development</x:v>
      </x:c>
      <x:c r="C26" s="21" t="n">
        <x:f>$C$57</x:f>
        <x:v>220</x:v>
      </x:c>
      <x:c r="D26" s="21" t="n">
        <x:f>A26*C26</x:f>
        <x:v>3520</x:v>
      </x:c>
      <x:c r="E26" s="25"/>
      <x:c r="F26" s="19" t="str">
        <x:v>Content development 8-16 h: source an existing licensed animated raptor, make one side-view walking-across-wall clip, simple background, one review / revision and export for forward / reverse scrubbing. No bespoke modelling.</x:v>
      </x:c>
      <x:c r="G26" s="25"/>
      <x:c r="H26" s="25"/>
      <x:c r="I26" s="25"/>
    </x:row>
    <x:row r="27" ht="62" customHeight="1">
      <x:c r="A27" s="37" t="n">
        <x:f>ROUNDUP($A$53*(($A$58+A19+A20+A21+A26)*(1+$A$54)),0)</x:f>
        <x:v>47</x:v>
      </x:c>
      <x:c r="B27" s="28" t="s">
        <x:v>17</x:v>
      </x:c>
      <x:c r="C27" s="21" t="n">
        <x:f>$C$57</x:f>
        <x:v>220</x:v>
      </x:c>
      <x:c r="D27" s="21" t="n">
        <x:f>A27*C27</x:f>
        <x:v>10340</x:v>
      </x:c>
      <x:c r="E27" s="25"/>
      <x:c r="F27" s="19" t="str">
        <x:v>25% buffer on design + prototype + programming + integration + content after x1.4 uplift. Design-only hours are in A58.</x:v>
      </x:c>
      <x:c r="G27" s="25"/>
      <x:c r="H27" s="25"/>
      <x:c r="I27" s="25"/>
    </x:row>
    <x:row r="28">
      <x:c r="A28" s="37" t="n">
        <x:f>SUM(A18:A27)</x:f>
        <x:v>315</x:v>
      </x:c>
      <x:c r="B28" s="25"/>
      <x:c r="C28" s="23" t="str">
        <x:v>Shared labour subtotal</x:v>
      </x:c>
      <x:c r="D28" s="23" t="n">
        <x:f>SUM(D18:D27)</x:f>
        <x:v>69300</x:v>
      </x:c>
      <x:c r="E28" s="25"/>
      <x:c r="F28" s="19" t="str">
        <x:v>Total labour hours including installation</x:v>
      </x:c>
      <x:c r="G28" s="25"/>
      <x:c r="H28" s="44" t="n">
        <x:f>A28+A42</x:f>
        <x:v>339</x:v>
      </x:c>
      <x:c r="I28" s="25"/>
    </x:row>
    <x:row r="29">
      <x:c r="A29" s="37"/>
      <x:c r="B29" s="25"/>
      <x:c r="C29" s="21"/>
      <x:c r="D29" s="21"/>
      <x:c r="E29" s="25"/>
      <x:c r="F29" s="19"/>
      <x:c r="G29" s="25"/>
      <x:c r="H29" s="25"/>
      <x:c r="I29" s="25"/>
    </x:row>
    <x:row r="30">
      <x:c r="A30" s="41" t="str">
        <x:v>Project Hours - On-site installation and commissioning</x:v>
      </x:c>
      <x:c r="B30" s="25"/>
      <x:c r="C30" s="21"/>
      <x:c r="D30" s="21"/>
      <x:c r="E30" s="25"/>
      <x:c r="F30" s="19"/>
      <x:c r="G30" s="25"/>
      <x:c r="H30" s="25"/>
      <x:c r="I30" s="25"/>
    </x:row>
    <x:row r="31">
      <x:c r="A31" s="41" t="s">
        <x:v>1</x:v>
      </x:c>
      <x:c r="B31" s="28" t="s">
        <x:v>2</x:v>
      </x:c>
      <x:c r="C31" s="23" t="s">
        <x:v>3</x:v>
      </x:c>
      <x:c r="D31" s="23" t="s">
        <x:v>4</x:v>
      </x:c>
      <x:c r="E31" s="28"/>
      <x:c r="F31" s="29" t="str">
        <x:v>Notes / estimate basis [U]</x:v>
      </x:c>
      <x:c r="G31" s="25"/>
      <x:c r="H31" s="25"/>
      <x:c r="I31" s="25"/>
    </x:row>
    <x:row r="32" ht="42" customHeight="1">
      <x:c r="A32" s="37" t="n">
        <x:v>0</x:v>
      </x:c>
      <x:c r="B32" s="28" t="s">
        <x:v>10</x:v>
      </x:c>
      <x:c r="C32" s="21" t="n">
        <x:f>$C$57</x:f>
        <x:v>220</x:v>
      </x:c>
      <x:c r="D32" s="21" t="n">
        <x:f>A32*C32</x:f>
        <x:v>0</x:v>
      </x:c>
      <x:c r="E32" s="25"/>
      <x:c r="F32" s="19" t="str">
        <x:v>Zero: this phase is included in the shared work block. No duplicate charge.</x:v>
      </x:c>
      <x:c r="G32" s="25"/>
      <x:c r="H32" s="25"/>
      <x:c r="I32" s="25"/>
    </x:row>
    <x:row r="33" ht="42" customHeight="1">
      <x:c r="A33" s="37" t="n">
        <x:v>0</x:v>
      </x:c>
      <x:c r="B33" s="28" t="s">
        <x:v>11</x:v>
      </x:c>
      <x:c r="C33" s="21" t="n">
        <x:f>$C$57</x:f>
        <x:v>220</x:v>
      </x:c>
      <x:c r="D33" s="21" t="n">
        <x:f>A33*C33</x:f>
        <x:v>0</x:v>
      </x:c>
      <x:c r="E33" s="25"/>
      <x:c r="F33" s="19" t="str">
        <x:v>Zero: this phase is included in the shared work block. No duplicate charge.</x:v>
      </x:c>
      <x:c r="G33" s="25"/>
      <x:c r="H33" s="25"/>
      <x:c r="I33" s="25"/>
    </x:row>
    <x:row r="34" ht="42" customHeight="1">
      <x:c r="A34" s="37" t="n">
        <x:v>0</x:v>
      </x:c>
      <x:c r="B34" s="28" t="s">
        <x:v>12</x:v>
      </x:c>
      <x:c r="C34" s="21" t="n">
        <x:f>$C$57</x:f>
        <x:v>220</x:v>
      </x:c>
      <x:c r="D34" s="21" t="n">
        <x:f>A34*C34</x:f>
        <x:v>0</x:v>
      </x:c>
      <x:c r="E34" s="25"/>
      <x:c r="F34" s="19" t="str">
        <x:v>Zero: this phase is included in the shared work block. No duplicate charge.</x:v>
      </x:c>
      <x:c r="G34" s="25"/>
      <x:c r="H34" s="25"/>
      <x:c r="I34" s="25"/>
    </x:row>
    <x:row r="35" ht="42" customHeight="1">
      <x:c r="A35" s="37" t="n">
        <x:v>0</x:v>
      </x:c>
      <x:c r="B35" s="28" t="s">
        <x:v>13</x:v>
      </x:c>
      <x:c r="C35" s="21" t="n">
        <x:f>$C$57</x:f>
        <x:v>220</x:v>
      </x:c>
      <x:c r="D35" s="21" t="n">
        <x:f>A35*C35</x:f>
        <x:v>0</x:v>
      </x:c>
      <x:c r="E35" s="25"/>
      <x:c r="F35" s="19" t="str">
        <x:v>Zero: this phase is included in the shared work block. No duplicate charge.</x:v>
      </x:c>
      <x:c r="G35" s="25"/>
      <x:c r="H35" s="25"/>
      <x:c r="I35" s="25"/>
    </x:row>
    <x:row r="36" ht="42" customHeight="1">
      <x:c r="A36" s="37" t="n">
        <x:v>0</x:v>
      </x:c>
      <x:c r="B36" s="28" t="s">
        <x:v>14</x:v>
      </x:c>
      <x:c r="C36" s="21" t="n">
        <x:f>$C$57</x:f>
        <x:v>220</x:v>
      </x:c>
      <x:c r="D36" s="21" t="n">
        <x:f>A36*C36</x:f>
        <x:v>0</x:v>
      </x:c>
      <x:c r="E36" s="25"/>
      <x:c r="F36" s="19" t="str">
        <x:v>Zero: this phase is included in the shared work block. No duplicate charge.</x:v>
      </x:c>
      <x:c r="G36" s="25"/>
      <x:c r="H36" s="25"/>
      <x:c r="I36" s="25"/>
    </x:row>
    <x:row r="37" ht="42" customHeight="1">
      <x:c r="A37" s="37" t="n">
        <x:v>0</x:v>
      </x:c>
      <x:c r="B37" s="28" t="str">
        <x:v>QA</x:v>
      </x:c>
      <x:c r="C37" s="21" t="n">
        <x:f>$C$57</x:f>
        <x:v>220</x:v>
      </x:c>
      <x:c r="D37" s="21" t="n">
        <x:f>A37*C37</x:f>
        <x:v>0</x:v>
      </x:c>
      <x:c r="E37" s="25"/>
      <x:c r="F37" s="19" t="str">
        <x:v>Zero: this phase is included in the shared work block. No duplicate charge.</x:v>
      </x:c>
      <x:c r="G37" s="25"/>
      <x:c r="H37" s="25"/>
      <x:c r="I37" s="25"/>
    </x:row>
    <x:row r="38" ht="42" customHeight="1">
      <x:c r="A38" s="37" t="n">
        <x:v>0</x:v>
      </x:c>
      <x:c r="B38" s="28" t="s">
        <x:v>15</x:v>
      </x:c>
      <x:c r="C38" s="21" t="n">
        <x:f>$C$57</x:f>
        <x:v>220</x:v>
      </x:c>
      <x:c r="D38" s="21" t="n">
        <x:f>A38*C38</x:f>
        <x:v>0</x:v>
      </x:c>
      <x:c r="E38" s="25"/>
      <x:c r="F38" s="19" t="str">
        <x:v>Zero: this phase is included in the shared work block. No duplicate charge.</x:v>
      </x:c>
      <x:c r="G38" s="25"/>
      <x:c r="H38" s="25"/>
      <x:c r="I38" s="25"/>
    </x:row>
    <x:row r="39" ht="42" customHeight="1">
      <x:c r="A39" s="37" t="n">
        <x:v>0</x:v>
      </x:c>
      <x:c r="B39" s="28" t="s">
        <x:v>16</x:v>
      </x:c>
      <x:c r="C39" s="21" t="n">
        <x:f>$C$57</x:f>
        <x:v>220</x:v>
      </x:c>
      <x:c r="D39" s="21" t="n">
        <x:f>A39*C39</x:f>
        <x:v>0</x:v>
      </x:c>
      <x:c r="E39" s="25"/>
      <x:c r="F39" s="19" t="str">
        <x:v>Zero: this phase is included in the shared work block. No duplicate charge.</x:v>
      </x:c>
      <x:c r="G39" s="25"/>
      <x:c r="H39" s="25"/>
      <x:c r="I39" s="25"/>
    </x:row>
    <x:row r="40" ht="42" customHeight="1">
      <x:c r="A40" s="37" t="n">
        <x:v>24</x:v>
      </x:c>
      <x:c r="B40" s="28" t="s">
        <x:v>18</x:v>
      </x:c>
      <x:c r="C40" s="21" t="n">
        <x:f>$C$57</x:f>
        <x:v>220</x:v>
      </x:c>
      <x:c r="D40" s="21" t="n">
        <x:f>A40*C40</x:f>
        <x:v>5280</x:v>
      </x:c>
      <x:c r="E40" s="25"/>
      <x:c r="F40" s="19" t="str">
        <x:v>Install 12-24 person-hours: transport, projection setup, camera mounting / calibration, visitor walk tests and venue handover. One installation; no ongoing attendance.</x:v>
      </x:c>
      <x:c r="G40" s="25"/>
      <x:c r="H40" s="25"/>
      <x:c r="I40" s="25"/>
    </x:row>
    <x:row r="41" ht="42" customHeight="1">
      <x:c r="A41" s="37" t="n">
        <x:v>0</x:v>
      </x:c>
      <x:c r="B41" s="28" t="s">
        <x:v>17</x:v>
      </x:c>
      <x:c r="C41" s="21" t="n">
        <x:f>$C$57</x:f>
        <x:v>220</x:v>
      </x:c>
      <x:c r="D41" s="21" t="n">
        <x:f>A41*C41</x:f>
        <x:v>0</x:v>
      </x:c>
      <x:c r="E41" s="25"/>
      <x:c r="F41" s="19" t="str">
        <x:v>Zero: this phase is included in the shared work block. No duplicate charge.</x:v>
      </x:c>
      <x:c r="G41" s="25"/>
      <x:c r="H41" s="25"/>
      <x:c r="I41" s="25"/>
    </x:row>
    <x:row r="42">
      <x:c r="A42" s="37" t="n">
        <x:f>SUM(A32:A41)</x:f>
        <x:v>24</x:v>
      </x:c>
      <x:c r="B42" s="25"/>
      <x:c r="C42" s="23" t="str">
        <x:v>Installation subtotal</x:v>
      </x:c>
      <x:c r="D42" s="23" t="n">
        <x:f>SUM(D32:D41)</x:f>
        <x:v>5280</x:v>
      </x:c>
      <x:c r="E42" s="25"/>
      <x:c r="F42" s="25" t="str">
        <x:v>Calendar weeks [U]: 30 h/week, x1.3 approvals</x:v>
      </x:c>
      <x:c r="G42" s="25"/>
      <x:c r="H42" s="45" t="n">
        <x:f>ROUNDUP(H28/$C$54*$C$53,0)</x:f>
        <x:v>15</x:v>
      </x:c>
      <x:c r="I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</x:row>
    <x:row r="45">
      <x:c r="A45" s="25"/>
      <x:c r="B45" s="25"/>
      <x:c r="C45" s="32" t="str">
        <x:v>Total tech estimate</x:v>
      </x:c>
      <x:c r="D45" s="33" t="n">
        <x:f>D13+D28+D42</x:f>
        <x:v>97380</x:v>
      </x:c>
      <x:c r="E45" s="25"/>
      <x:c r="F45" s="25"/>
      <x:c r="G45" s="25"/>
      <x:c r="H45" s="25"/>
      <x:c r="I45" s="25"/>
    </x:row>
    <x:row r="46">
      <x:c r="A46" s="25"/>
      <x:c r="B46" s="25"/>
      <x:c r="C46" s="25"/>
      <x:c r="D46" s="21"/>
      <x:c r="E46" s="25"/>
      <x:c r="F46" s="25"/>
      <x:c r="G46" s="25"/>
      <x:c r="H46" s="25"/>
      <x:c r="I46" s="25"/>
    </x:row>
    <x:row r="47">
      <x:c r="A47" s="25"/>
      <x:c r="B47" s="28" t="str">
        <x:v>Cost breakdown (materials unrounded)</x:v>
      </x:c>
      <x:c r="C47" s="25"/>
      <x:c r="D47" s="21"/>
      <x:c r="E47" s="25"/>
      <x:c r="F47" s="25"/>
      <x:c r="G47" s="25"/>
      <x:c r="H47" s="25"/>
      <x:c r="I47" s="25"/>
    </x:row>
    <x:row r="48">
      <x:c r="A48" s="25"/>
      <x:c r="B48" s="25" t="str">
        <x:v>Shared labour + shared hardware / projector 1 + contingency</x:v>
      </x:c>
      <x:c r="C48" s="25"/>
      <x:c r="D48" s="21" t="n">
        <x:f>D28+SUMPRODUCT(H5:H11,C5:C11)</x:f>
        <x:v>89206</x:v>
      </x:c>
      <x:c r="E48" s="25"/>
      <x:c r="F48" s="25"/>
      <x:c r="G48" s="25"/>
      <x:c r="H48" s="25"/>
      <x:c r="I48" s="25"/>
    </x:row>
    <x:row r="49">
      <x:c r="A49" s="25"/>
      <x:c r="B49" s="25" t="str">
        <x:v>Installation labour + projector 2 hardware</x:v>
      </x:c>
      <x:c r="C49" s="25"/>
      <x:c r="D49" s="21" t="n">
        <x:f>D42+SUMPRODUCT(I5:I11,C5:C11)</x:f>
        <x:v>8134</x:v>
      </x:c>
      <x:c r="E49" s="25"/>
      <x:c r="F49" s="25"/>
      <x:c r="G49" s="25"/>
      <x:c r="H49" s="25"/>
      <x:c r="I49" s="25"/>
    </x:row>
    <x:row r="50">
      <x:c r="A50" s="25"/>
      <x:c r="B50" s="25" t="str">
        <x:v>Image width per projector</x:v>
      </x:c>
      <x:c r="C50" s="25" t="str">
        <x:v>ft</x:v>
      </x:c>
      <x:c r="D50" s="14" t="n">
        <x:v>8</x:v>
      </x:c>
      <x:c r="E50" s="25"/>
      <x:c r="F50" s="25"/>
      <x:c r="G50" s="25"/>
      <x:c r="H50" s="25"/>
      <x:c r="I50" s="25"/>
    </x:row>
    <x:row r="51">
      <x:c r="A51" s="25"/>
      <x:c r="B51" s="25" t="str">
        <x:v>Image height per projector</x:v>
      </x:c>
      <x:c r="C51" s="25" t="str">
        <x:v>ft</x:v>
      </x:c>
      <x:c r="D51" s="14" t="n">
        <x:f>D50*9/16</x:f>
        <x:v>4.5</x:v>
      </x:c>
      <x:c r="E51" s="25"/>
      <x:c r="F51" s="25"/>
      <x:c r="G51" s="25"/>
      <x:c r="H51" s="25"/>
      <x:c r="I51" s="25"/>
    </x:row>
    <x:row r="52">
      <x:c r="A52" s="25"/>
      <x:c r="B52" s="28" t="str">
        <x:v>Combined projected width</x:v>
      </x:c>
      <x:c r="C52" s="28" t="str">
        <x:v>ft</x:v>
      </x:c>
      <x:c r="D52" s="15" t="n">
        <x:f>A5*D50-A59</x:f>
        <x:v>15</x:v>
      </x:c>
      <x:c r="E52" s="25"/>
      <x:c r="F52" s="25"/>
      <x:c r="G52" s="25"/>
      <x:c r="H52" s="25"/>
      <x:c r="I52" s="25"/>
    </x:row>
    <x:row r="53" ht="32" customHeight="1">
      <x:c r="A53" s="50" t="n">
        <x:v>0.25</x:v>
      </x:c>
      <x:c r="B53" s="19" t="str">
        <x:v>Iteration buffer [U] - editable percentage</x:v>
      </x:c>
      <x:c r="C53" s="57" t="n">
        <x:v>1.3</x:v>
      </x:c>
      <x:c r="D53" s="19" t="str">
        <x:v>Calendar approval multiplier [U]</x:v>
      </x:c>
      <x:c r="E53" s="25"/>
      <x:c r="F53" s="25"/>
      <x:c r="G53" s="25"/>
      <x:c r="H53" s="25"/>
      <x:c r="I53" s="25"/>
    </x:row>
    <x:row r="54" ht="32" customHeight="1">
      <x:c r="A54" s="50" t="n">
        <x:v>0.4</x:v>
      </x:c>
      <x:c r="B54" s="19" t="str">
        <x:v>Public deployment uplift [U] - editable 40% (x1.4 total)</x:v>
      </x:c>
      <x:c r="C54" s="58" t="n">
        <x:v>30</x:v>
      </x:c>
      <x:c r="D54" s="19" t="str">
        <x:v>Focused hours/week [U]</x:v>
      </x:c>
      <x:c r="E54" s="25"/>
      <x:c r="F54" s="25"/>
      <x:c r="G54" s="25"/>
      <x:c r="H54" s="25"/>
      <x:c r="I54" s="25"/>
    </x:row>
    <x:row r="55">
      <x:c r="A55" s="25"/>
      <x:c r="B55" s="28" t="s">
        <x:v>19</x:v>
      </x:c>
      <x:c r="C55" s="25"/>
      <x:c r="D55" s="25"/>
      <x:c r="E55" s="25"/>
      <x:c r="F55" s="25"/>
      <x:c r="G55" s="25"/>
      <x:c r="H55" s="25"/>
      <x:c r="I55" s="25"/>
    </x:row>
    <x:row r="56">
      <x:c r="A56" s="25"/>
      <x:c r="B56" s="25" t="str">
        <x:v>Scope: one 15 x 4.5 ft wall, two landscape USTs, one raptor video and one tracked visitor. Two overhead depth cameras provisionally allowed.</x:v>
      </x:c>
      <x:c r="C56" s="25"/>
      <x:c r="D56" s="25"/>
      <x:c r="E56" s="25"/>
      <x:c r="F56" s="25"/>
      <x:c r="G56" s="25"/>
      <x:c r="H56" s="25"/>
      <x:c r="I56" s="25"/>
    </x:row>
    <x:row r="57">
      <x:c r="A57" s="25"/>
      <x:c r="B57" s="25" t="str">
        <x:v>Rate supplied by Garrett; edit C57. HST excluded.</x:v>
      </x:c>
      <x:c r="C57" s="52" t="n">
        <x:v>220</x:v>
      </x:c>
      <x:c r="D57" s="25"/>
      <x:c r="E57" s="25"/>
      <x:c r="F57" s="25"/>
      <x:c r="G57" s="25"/>
      <x:c r="H57" s="25"/>
      <x:c r="I57" s="25"/>
    </x:row>
    <x:row r="58">
      <x:c r="A58" s="54" t="n">
        <x:v>12</x:v>
      </x:c>
      <x:c r="B58" s="25" t="str">
        <x:v>HIGH scenario. Base design-only hours in A58 feed the buffer. All labour hours are [U] planning estimates.</x:v>
      </x:c>
      <x:c r="C58" s="25"/>
      <x:c r="D58" s="25"/>
      <x:c r="E58" s="25"/>
      <x:c r="F58" s="25"/>
      <x:c r="G58" s="25"/>
      <x:c r="H58" s="25"/>
      <x:c r="I58" s="25"/>
    </x:row>
    <x:row r="59">
      <x:c r="A59" s="17" t="n">
        <x:v>1</x:v>
      </x:c>
      <x:c r="B59" s="25" t="str">
        <x:v>Overlap between the two 8 ft wide images: 1 ft [U]. Edit overlap in A59; combined width is calculated in D52.</x:v>
      </x:c>
      <x:c r="C59" s="25"/>
      <x:c r="D59" s="25"/>
      <x:c r="E59" s="25"/>
      <x:c r="F59" s="25"/>
      <x:c r="G59" s="25"/>
      <x:c r="H59" s="25"/>
      <x:c r="I59" s="25"/>
    </x:row>
    <x:row r="60">
      <x:c r="A60" s="18" t="n">
        <x:v>0.25</x:v>
      </x:c>
      <x:c r="B60" s="25" t="str">
        <x:v>Materials contingency: 25% [U]. Edit percentage in A60. Shared equipment and contingency are allocated to projector 1.</x:v>
      </x:c>
      <x:c r="C60" s="25"/>
      <x:c r="D60" s="25"/>
      <x:c r="E60" s="25"/>
      <x:c r="F60" s="25"/>
      <x:c r="G60" s="25"/>
      <x:c r="H60" s="25"/>
      <x:c r="I60" s="25"/>
    </x:row>
    <x:row r="61">
      <x:c r="A61" s="25"/>
      <x:c r="B61" s="25" t="str">
        <x:v>Nominal optical throw: 8 ft x 0.25 = 2 ft [U calculation]. Complete mounting / cooling / access envelope remains unverified.</x:v>
      </x:c>
      <x:c r="C61" s="25"/>
      <x:c r="D61" s="25"/>
      <x:c r="E61" s="25"/>
      <x:c r="F61" s="25"/>
      <x:c r="G61" s="25"/>
      <x:c r="H61" s="25"/>
      <x:c r="I61" s="25"/>
    </x:row>
    <x:row r="62">
      <x:c r="A62" s="25"/>
      <x:c r="B62" s="25" t="str">
        <x:v>Reserve 3-3.5 ft rear-bay depth provisionally [U]; verify model-specific mounting height and physical clearance before fabrication.</x:v>
      </x:c>
      <x:c r="C62" s="25"/>
      <x:c r="D62" s="25"/>
      <x:c r="E62" s="25"/>
      <x:c r="F62" s="25"/>
      <x:c r="G62" s="25"/>
      <x:c r="H62" s="25"/>
      <x:c r="I62" s="25"/>
    </x:row>
    <x:row r="63">
      <x:c r="A63" s="25"/>
      <x:c r="B63" s="25" t="str">
        <x:v>Use tensioned diffuse rear-projection fabric. Keep framing and exterior branding out of the beam paths and translucent screen back.</x:v>
      </x:c>
      <x:c r="C63" s="25"/>
      <x:c r="D63" s="25"/>
      <x:c r="E63" s="25"/>
      <x:c r="F63" s="25"/>
      <x:c r="G63" s="25"/>
      <x:c r="H63" s="25"/>
      <x:c r="I63" s="25"/>
    </x:row>
    <x:row r="64">
      <x:c r="A64" s="25"/>
      <x:c r="B64" s="25" t="str">
        <x:v>Assume familiar depth / playback tools, wired indoor installation. New technology adds x1.5-2 to affected work (not applied). Asset and camera compatibility unverified.</x:v>
      </x:c>
      <x:c r="C64" s="25"/>
      <x:c r="D64" s="25"/>
      <x:c r="E64" s="25"/>
      <x:c r="F64" s="25"/>
      <x:c r="G64" s="25"/>
      <x:c r="H64" s="25"/>
      <x:c r="I64" s="25"/>
    </x:row>
    <x:row r="65">
      <x:c r="A65" s="25"/>
      <x:c r="B65" s="25" t="str">
        <x:v>Excludes bespoke raptor modelling / rigging, additional scenes, multi-person following, audio / sound design, main tunnel fabrication and ongoing attendance.</x:v>
      </x:c>
      <x:c r="C65" s="25"/>
      <x:c r="D65" s="25"/>
      <x:c r="E65" s="25"/>
      <x:c r="F65" s="25"/>
      <x:c r="G65" s="25"/>
      <x:c r="H65" s="25"/>
      <x:c r="I65" s="25"/>
    </x:row>
    <x:row r="66">
      <x:c r="A66" s="25"/>
      <x:c r="B66" s="25" t="str">
        <x:v>Follow behaviour: map visitor position to clip frame. Stops hold a frame. Backward steps reverse the clip (raptor backpedals). Exit / lost tracking resets.</x:v>
      </x:c>
      <x:c r="C66" s="25"/>
      <x:c r="D66" s="25"/>
      <x:c r="E66" s="25"/>
      <x:c r="F66" s="25"/>
      <x:c r="G66" s="25"/>
      <x:c r="H66" s="25"/>
      <x:c r="I66" s="25"/>
    </x:row>
    <x:row r="67">
      <x:c r="A67" s="25"/>
      <x:c r="B67" s="25" t="str">
        <x:v>Prototype camera coverage, handoff and video scrubbing before committing. Calendar assumes 30 focused h/week, x1.3 approvals. Lead times and real hardware unverified.</x:v>
      </x:c>
      <x:c r="C67" s="25"/>
      <x:c r="D67" s="25"/>
      <x:c r="E67" s="25"/>
      <x:c r="F67" s="25"/>
      <x:c r="G67" s="25"/>
      <x:c r="H67" s="25"/>
      <x:c r="I67" s="25"/>
    </x:row>
  </x:sheetData>
  <x:pageMargins left="0.7" right="0.7" top="0.75" bottom="0.75" header="0.3" footer="0.3"/>
</x:worksheet>
</file>